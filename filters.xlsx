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UNIVERSITY\science de la matière\L2\Filters_Catalog\"/>
    </mc:Choice>
  </mc:AlternateContent>
  <xr:revisionPtr revIDLastSave="0" documentId="13_ncr:1_{0ABA5F7E-E676-4AC8-8219-ED9EC374D0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H34" i="1" l="1"/>
  <c r="A3" i="1"/>
  <c r="A9" i="1"/>
  <c r="A11" i="1"/>
  <c r="A13" i="1"/>
  <c r="A19" i="1"/>
  <c r="A21" i="1"/>
  <c r="A27" i="1"/>
  <c r="A29" i="1"/>
  <c r="A35" i="1"/>
  <c r="A36" i="1"/>
  <c r="A37" i="1"/>
  <c r="A38" i="1"/>
  <c r="A43" i="1"/>
  <c r="A44" i="1"/>
  <c r="A45" i="1"/>
  <c r="A46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5" i="1"/>
  <c r="H36" i="1"/>
  <c r="H37" i="1"/>
  <c r="H38" i="1"/>
  <c r="H39" i="1"/>
  <c r="H40" i="1"/>
  <c r="H41" i="1"/>
  <c r="H42" i="1"/>
  <c r="H43" i="1"/>
  <c r="H44" i="1"/>
  <c r="H45" i="1"/>
  <c r="H46" i="1"/>
  <c r="H2" i="1"/>
  <c r="I3" i="1"/>
  <c r="I4" i="1"/>
  <c r="A4" i="1" s="1"/>
  <c r="I5" i="1"/>
  <c r="A5" i="1" s="1"/>
  <c r="I6" i="1"/>
  <c r="A6" i="1" s="1"/>
  <c r="I7" i="1"/>
  <c r="A7" i="1" s="1"/>
  <c r="I8" i="1"/>
  <c r="A8" i="1" s="1"/>
  <c r="I9" i="1"/>
  <c r="I10" i="1"/>
  <c r="A10" i="1" s="1"/>
  <c r="I11" i="1"/>
  <c r="I12" i="1"/>
  <c r="A12" i="1" s="1"/>
  <c r="I13" i="1"/>
  <c r="I14" i="1"/>
  <c r="A14" i="1" s="1"/>
  <c r="I15" i="1"/>
  <c r="A15" i="1" s="1"/>
  <c r="I16" i="1"/>
  <c r="A16" i="1" s="1"/>
  <c r="I17" i="1"/>
  <c r="A17" i="1" s="1"/>
  <c r="I18" i="1"/>
  <c r="A18" i="1" s="1"/>
  <c r="I19" i="1"/>
  <c r="I20" i="1"/>
  <c r="A20" i="1" s="1"/>
  <c r="I21" i="1"/>
  <c r="I22" i="1"/>
  <c r="A22" i="1" s="1"/>
  <c r="I23" i="1"/>
  <c r="A23" i="1" s="1"/>
  <c r="I24" i="1"/>
  <c r="A24" i="1" s="1"/>
  <c r="I25" i="1"/>
  <c r="A25" i="1" s="1"/>
  <c r="I26" i="1"/>
  <c r="A26" i="1" s="1"/>
  <c r="I27" i="1"/>
  <c r="I28" i="1"/>
  <c r="A28" i="1" s="1"/>
  <c r="I29" i="1"/>
  <c r="I30" i="1"/>
  <c r="A30" i="1" s="1"/>
  <c r="I31" i="1"/>
  <c r="A31" i="1" s="1"/>
  <c r="I32" i="1"/>
  <c r="A32" i="1" s="1"/>
  <c r="I33" i="1"/>
  <c r="A33" i="1" s="1"/>
  <c r="I34" i="1"/>
  <c r="A34" i="1" s="1"/>
  <c r="I35" i="1"/>
  <c r="I36" i="1"/>
  <c r="I37" i="1"/>
  <c r="I38" i="1"/>
  <c r="I39" i="1"/>
  <c r="A39" i="1" s="1"/>
  <c r="I40" i="1"/>
  <c r="A40" i="1" s="1"/>
  <c r="I41" i="1"/>
  <c r="A41" i="1" s="1"/>
  <c r="I42" i="1"/>
  <c r="A42" i="1" s="1"/>
  <c r="I43" i="1"/>
  <c r="I44" i="1"/>
  <c r="I45" i="1"/>
  <c r="I46" i="1"/>
  <c r="I2" i="1"/>
  <c r="A2" i="1" s="1"/>
</calcChain>
</file>

<file path=xl/sharedStrings.xml><?xml version="1.0" encoding="utf-8"?>
<sst xmlns="http://schemas.openxmlformats.org/spreadsheetml/2006/main" count="153" uniqueCount="65">
  <si>
    <t>catalog_number</t>
  </si>
  <si>
    <t>filter_id</t>
  </si>
  <si>
    <t>description</t>
  </si>
  <si>
    <t>filter_type</t>
  </si>
  <si>
    <t>supplier</t>
  </si>
  <si>
    <t>cut_on_nm</t>
  </si>
  <si>
    <t>cut_off_nm</t>
  </si>
  <si>
    <t>center_nm</t>
  </si>
  <si>
    <t>bandwidth_nm</t>
  </si>
  <si>
    <t>photo</t>
  </si>
  <si>
    <t>raw_file</t>
  </si>
  <si>
    <t>Band-stop filter</t>
  </si>
  <si>
    <t>BS</t>
  </si>
  <si>
    <t>unknown</t>
  </si>
  <si>
    <t>1.txt</t>
  </si>
  <si>
    <t>Short Pass</t>
  </si>
  <si>
    <t>SP</t>
  </si>
  <si>
    <t>2.txt</t>
  </si>
  <si>
    <t>Band Pass</t>
  </si>
  <si>
    <t>BP</t>
  </si>
  <si>
    <t>3.txt</t>
  </si>
  <si>
    <t>Long Pass</t>
  </si>
  <si>
    <t>LP</t>
  </si>
  <si>
    <t>4.txt</t>
  </si>
  <si>
    <t>5.txt</t>
  </si>
  <si>
    <t>6.txt</t>
  </si>
  <si>
    <t>7.txt</t>
  </si>
  <si>
    <t>8.txt</t>
  </si>
  <si>
    <t>9.txt</t>
  </si>
  <si>
    <t>10.txt</t>
  </si>
  <si>
    <t>11.txt</t>
  </si>
  <si>
    <t>12.txt</t>
  </si>
  <si>
    <t>13.txt</t>
  </si>
  <si>
    <t>14.txt</t>
  </si>
  <si>
    <t>15.txt</t>
  </si>
  <si>
    <t>16.txt</t>
  </si>
  <si>
    <t>17.txt</t>
  </si>
  <si>
    <t>18.txt</t>
  </si>
  <si>
    <t>19.txt</t>
  </si>
  <si>
    <t>20.txt</t>
  </si>
  <si>
    <t>21.txt</t>
  </si>
  <si>
    <t>22.txt</t>
  </si>
  <si>
    <t>23.txt</t>
  </si>
  <si>
    <t>24.txt</t>
  </si>
  <si>
    <t>25.txt</t>
  </si>
  <si>
    <t>26.txt</t>
  </si>
  <si>
    <t>27.txt</t>
  </si>
  <si>
    <t>28.txt</t>
  </si>
  <si>
    <t>29.txt</t>
  </si>
  <si>
    <t>30.txt</t>
  </si>
  <si>
    <t>31.txt</t>
  </si>
  <si>
    <t>32.txt</t>
  </si>
  <si>
    <t>33.txt</t>
  </si>
  <si>
    <t>34.txt</t>
  </si>
  <si>
    <t>D1.txt</t>
  </si>
  <si>
    <t>D2.txt</t>
  </si>
  <si>
    <t>D3.txt</t>
  </si>
  <si>
    <t>D4.txt</t>
  </si>
  <si>
    <t>D5.txt</t>
  </si>
  <si>
    <t>D6.txt</t>
  </si>
  <si>
    <t>D7.txt</t>
  </si>
  <si>
    <t>R1.txt</t>
  </si>
  <si>
    <t>R2.txt</t>
  </si>
  <si>
    <t>R3.txt</t>
  </si>
  <si>
    <t>R4.txt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</si>
</sst>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topLeftCell="A10" workbookViewId="0">
      <selection activeCell="F35" sqref="F35"/>
    </sheetView>
  </sheetViews>
  <sheetFormatPr defaultRowHeight="15" x14ac:dyDescent="0.25"/>
  <cols>
    <col min="1" max="1" width="15.42578125" bestFit="1" customWidth="1"/>
    <col min="3" max="3" width="15" bestFit="1" customWidth="1"/>
    <col min="4" max="4" width="10.42578125" bestFit="1" customWidth="1"/>
    <col min="6" max="6" width="10.85546875" bestFit="1" customWidth="1"/>
    <col min="7" max="7" width="11.140625" bestFit="1" customWidth="1"/>
    <col min="8" max="8" width="10.5703125" bestFit="1" customWidth="1"/>
    <col min="9" max="9" width="14.5703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tr">
        <f>CONCATENATE(D2,INT(F2),"-",INT(I2))</f>
        <v>BS524-13</v>
      </c>
      <c r="B2">
        <v>1</v>
      </c>
      <c r="C2" t="s">
        <v>11</v>
      </c>
      <c r="D2" t="s">
        <v>12</v>
      </c>
      <c r="E2" t="s">
        <v>13</v>
      </c>
      <c r="F2">
        <v>524.79999999999995</v>
      </c>
      <c r="G2">
        <v>538.47</v>
      </c>
      <c r="H2">
        <f>ROUND(AVERAGE(F2,G2),2)</f>
        <v>531.64</v>
      </c>
      <c r="I2">
        <f>ROUND(ABS(F2-G2),2)</f>
        <v>13.67</v>
      </c>
      <c r="K2" t="s">
        <v>14</v>
      </c>
    </row>
    <row r="3" spans="1:11" x14ac:dyDescent="0.25">
      <c r="A3" t="str">
        <f t="shared" ref="A3:A46" si="0">CONCATENATE(D3,INT(F3),"-",INT(I3))</f>
        <v>SP453-121</v>
      </c>
      <c r="B3">
        <v>2</v>
      </c>
      <c r="C3" t="s">
        <v>15</v>
      </c>
      <c r="D3" t="s">
        <v>16</v>
      </c>
      <c r="E3" t="s">
        <v>13</v>
      </c>
      <c r="F3">
        <v>453.01</v>
      </c>
      <c r="G3">
        <v>574.37</v>
      </c>
      <c r="H3">
        <f t="shared" ref="H3:H46" si="1">ROUND(AVERAGE(F3,G3),2)</f>
        <v>513.69000000000005</v>
      </c>
      <c r="I3">
        <f t="shared" ref="I3:I46" si="2">ROUND(ABS(F3-G3),2)</f>
        <v>121.36</v>
      </c>
      <c r="K3" t="s">
        <v>17</v>
      </c>
    </row>
    <row r="4" spans="1:11" x14ac:dyDescent="0.25">
      <c r="A4" t="str">
        <f t="shared" si="0"/>
        <v>BP528-44</v>
      </c>
      <c r="B4">
        <v>3</v>
      </c>
      <c r="C4" t="s">
        <v>18</v>
      </c>
      <c r="D4" t="s">
        <v>19</v>
      </c>
      <c r="E4" t="s">
        <v>13</v>
      </c>
      <c r="F4">
        <v>528.82000000000005</v>
      </c>
      <c r="G4">
        <v>573.37</v>
      </c>
      <c r="H4">
        <f t="shared" si="1"/>
        <v>551.1</v>
      </c>
      <c r="I4">
        <f t="shared" si="2"/>
        <v>44.55</v>
      </c>
      <c r="K4" t="s">
        <v>20</v>
      </c>
    </row>
    <row r="5" spans="1:11" x14ac:dyDescent="0.25">
      <c r="A5" t="str">
        <f t="shared" si="0"/>
        <v>LP531-531</v>
      </c>
      <c r="B5">
        <v>4</v>
      </c>
      <c r="C5" t="s">
        <v>21</v>
      </c>
      <c r="D5" t="s">
        <v>22</v>
      </c>
      <c r="E5" t="s">
        <v>13</v>
      </c>
      <c r="F5">
        <v>531.49</v>
      </c>
      <c r="H5">
        <f t="shared" si="1"/>
        <v>531.49</v>
      </c>
      <c r="I5">
        <f t="shared" si="2"/>
        <v>531.49</v>
      </c>
      <c r="K5" t="s">
        <v>23</v>
      </c>
    </row>
    <row r="6" spans="1:11" x14ac:dyDescent="0.25">
      <c r="A6" t="str">
        <f t="shared" si="0"/>
        <v>BP539-11</v>
      </c>
      <c r="B6">
        <v>5</v>
      </c>
      <c r="C6" t="s">
        <v>18</v>
      </c>
      <c r="D6" t="s">
        <v>19</v>
      </c>
      <c r="E6" t="s">
        <v>13</v>
      </c>
      <c r="F6">
        <v>539.79999999999995</v>
      </c>
      <c r="G6">
        <v>551</v>
      </c>
      <c r="H6">
        <f t="shared" si="1"/>
        <v>545.4</v>
      </c>
      <c r="I6">
        <f t="shared" si="2"/>
        <v>11.2</v>
      </c>
      <c r="K6" t="s">
        <v>24</v>
      </c>
    </row>
    <row r="7" spans="1:11" x14ac:dyDescent="0.25">
      <c r="A7" t="str">
        <f t="shared" si="0"/>
        <v>LP610-610</v>
      </c>
      <c r="B7">
        <v>6</v>
      </c>
      <c r="C7" t="s">
        <v>21</v>
      </c>
      <c r="D7" t="s">
        <v>22</v>
      </c>
      <c r="E7" t="s">
        <v>13</v>
      </c>
      <c r="F7">
        <v>610</v>
      </c>
      <c r="H7">
        <f t="shared" si="1"/>
        <v>610</v>
      </c>
      <c r="I7">
        <f t="shared" si="2"/>
        <v>610</v>
      </c>
      <c r="K7" t="s">
        <v>25</v>
      </c>
    </row>
    <row r="8" spans="1:11" x14ac:dyDescent="0.25">
      <c r="A8" t="str">
        <f t="shared" si="0"/>
        <v>LP475-475</v>
      </c>
      <c r="B8">
        <v>7</v>
      </c>
      <c r="C8" t="s">
        <v>21</v>
      </c>
      <c r="D8" t="s">
        <v>22</v>
      </c>
      <c r="E8" t="s">
        <v>13</v>
      </c>
      <c r="F8">
        <v>475.9</v>
      </c>
      <c r="H8">
        <f t="shared" si="1"/>
        <v>475.9</v>
      </c>
      <c r="I8">
        <f t="shared" si="2"/>
        <v>475.9</v>
      </c>
      <c r="K8" t="s">
        <v>26</v>
      </c>
    </row>
    <row r="9" spans="1:11" x14ac:dyDescent="0.25">
      <c r="A9" t="str">
        <f t="shared" si="0"/>
        <v>0-0</v>
      </c>
      <c r="B9">
        <v>8</v>
      </c>
      <c r="E9" t="s">
        <v>13</v>
      </c>
      <c r="H9" t="e">
        <f t="shared" si="1"/>
        <v>#DIV/0!</v>
      </c>
      <c r="I9">
        <f t="shared" si="2"/>
        <v>0</v>
      </c>
      <c r="K9" t="s">
        <v>27</v>
      </c>
    </row>
    <row r="10" spans="1:11" x14ac:dyDescent="0.25">
      <c r="A10" t="str">
        <f t="shared" si="0"/>
        <v>BP625-22</v>
      </c>
      <c r="B10">
        <v>9</v>
      </c>
      <c r="C10" t="s">
        <v>18</v>
      </c>
      <c r="D10" t="s">
        <v>19</v>
      </c>
      <c r="E10" t="s">
        <v>13</v>
      </c>
      <c r="F10">
        <v>625.45000000000005</v>
      </c>
      <c r="G10">
        <v>648.39</v>
      </c>
      <c r="H10">
        <f t="shared" si="1"/>
        <v>636.91999999999996</v>
      </c>
      <c r="I10">
        <f t="shared" si="2"/>
        <v>22.94</v>
      </c>
      <c r="K10" t="s">
        <v>28</v>
      </c>
    </row>
    <row r="11" spans="1:11" x14ac:dyDescent="0.25">
      <c r="A11" t="str">
        <f t="shared" si="0"/>
        <v>BP697-3</v>
      </c>
      <c r="B11">
        <v>10</v>
      </c>
      <c r="C11" t="s">
        <v>18</v>
      </c>
      <c r="D11" t="s">
        <v>19</v>
      </c>
      <c r="E11" t="s">
        <v>13</v>
      </c>
      <c r="F11">
        <v>697.95</v>
      </c>
      <c r="G11">
        <v>701.03</v>
      </c>
      <c r="H11">
        <f t="shared" si="1"/>
        <v>699.49</v>
      </c>
      <c r="I11">
        <f t="shared" si="2"/>
        <v>3.08</v>
      </c>
      <c r="K11" t="s">
        <v>29</v>
      </c>
    </row>
    <row r="12" spans="1:11" x14ac:dyDescent="0.25">
      <c r="A12" t="str">
        <f t="shared" si="0"/>
        <v>SP549-549</v>
      </c>
      <c r="B12">
        <v>11</v>
      </c>
      <c r="C12" t="s">
        <v>15</v>
      </c>
      <c r="D12" t="s">
        <v>16</v>
      </c>
      <c r="E12" t="s">
        <v>13</v>
      </c>
      <c r="F12">
        <v>549.69000000000005</v>
      </c>
      <c r="H12">
        <f t="shared" si="1"/>
        <v>549.69000000000005</v>
      </c>
      <c r="I12">
        <f t="shared" si="2"/>
        <v>549.69000000000005</v>
      </c>
      <c r="K12" t="s">
        <v>30</v>
      </c>
    </row>
    <row r="13" spans="1:11" x14ac:dyDescent="0.25">
      <c r="A13" t="str">
        <f t="shared" si="0"/>
        <v>BP658-15</v>
      </c>
      <c r="B13">
        <v>12</v>
      </c>
      <c r="C13" t="s">
        <v>18</v>
      </c>
      <c r="D13" t="s">
        <v>19</v>
      </c>
      <c r="E13" t="s">
        <v>13</v>
      </c>
      <c r="F13">
        <v>658.47</v>
      </c>
      <c r="G13">
        <v>674.24</v>
      </c>
      <c r="H13">
        <f t="shared" si="1"/>
        <v>666.36</v>
      </c>
      <c r="I13">
        <f t="shared" si="2"/>
        <v>15.77</v>
      </c>
      <c r="K13" t="s">
        <v>31</v>
      </c>
    </row>
    <row r="14" spans="1:11" x14ac:dyDescent="0.25">
      <c r="A14" t="str">
        <f t="shared" si="0"/>
        <v>0-0</v>
      </c>
      <c r="B14">
        <v>13</v>
      </c>
      <c r="E14" t="s">
        <v>13</v>
      </c>
      <c r="H14" t="e">
        <f t="shared" si="1"/>
        <v>#DIV/0!</v>
      </c>
      <c r="I14">
        <f t="shared" si="2"/>
        <v>0</v>
      </c>
      <c r="K14" t="s">
        <v>32</v>
      </c>
    </row>
    <row r="15" spans="1:11" x14ac:dyDescent="0.25">
      <c r="A15" t="str">
        <f t="shared" si="0"/>
        <v>BP532-23</v>
      </c>
      <c r="B15">
        <v>14</v>
      </c>
      <c r="C15" t="s">
        <v>18</v>
      </c>
      <c r="D15" t="s">
        <v>19</v>
      </c>
      <c r="E15" t="s">
        <v>13</v>
      </c>
      <c r="F15">
        <v>532.49</v>
      </c>
      <c r="G15">
        <v>556.24</v>
      </c>
      <c r="H15">
        <f t="shared" si="1"/>
        <v>544.37</v>
      </c>
      <c r="I15">
        <f t="shared" si="2"/>
        <v>23.75</v>
      </c>
      <c r="K15" t="s">
        <v>33</v>
      </c>
    </row>
    <row r="16" spans="1:11" x14ac:dyDescent="0.25">
      <c r="A16" t="str">
        <f t="shared" si="0"/>
        <v>0-0</v>
      </c>
      <c r="B16">
        <v>15</v>
      </c>
      <c r="E16" t="s">
        <v>13</v>
      </c>
      <c r="H16" t="e">
        <f t="shared" si="1"/>
        <v>#DIV/0!</v>
      </c>
      <c r="I16">
        <f t="shared" si="2"/>
        <v>0</v>
      </c>
      <c r="K16" t="s">
        <v>34</v>
      </c>
    </row>
    <row r="17" spans="1:11" x14ac:dyDescent="0.25">
      <c r="A17" t="str">
        <f t="shared" si="0"/>
        <v>LP545-545</v>
      </c>
      <c r="B17">
        <v>16</v>
      </c>
      <c r="C17" t="s">
        <v>21</v>
      </c>
      <c r="D17" t="s">
        <v>22</v>
      </c>
      <c r="E17" t="s">
        <v>13</v>
      </c>
      <c r="F17">
        <v>545.41999999999996</v>
      </c>
      <c r="H17">
        <f t="shared" si="1"/>
        <v>545.41999999999996</v>
      </c>
      <c r="I17">
        <f t="shared" si="2"/>
        <v>545.41999999999996</v>
      </c>
      <c r="K17" t="s">
        <v>35</v>
      </c>
    </row>
    <row r="18" spans="1:11" x14ac:dyDescent="0.25">
      <c r="A18" t="str">
        <f t="shared" si="0"/>
        <v>BP431-39</v>
      </c>
      <c r="B18">
        <v>17</v>
      </c>
      <c r="C18" t="s">
        <v>18</v>
      </c>
      <c r="D18" t="s">
        <v>19</v>
      </c>
      <c r="E18" t="s">
        <v>13</v>
      </c>
      <c r="F18">
        <v>431.19</v>
      </c>
      <c r="G18">
        <v>470.28</v>
      </c>
      <c r="H18">
        <f t="shared" si="1"/>
        <v>450.74</v>
      </c>
      <c r="I18">
        <f t="shared" si="2"/>
        <v>39.090000000000003</v>
      </c>
      <c r="K18" t="s">
        <v>36</v>
      </c>
    </row>
    <row r="19" spans="1:11" x14ac:dyDescent="0.25">
      <c r="A19" t="str">
        <f t="shared" si="0"/>
        <v>BP503-44</v>
      </c>
      <c r="B19">
        <v>18</v>
      </c>
      <c r="C19" t="s">
        <v>18</v>
      </c>
      <c r="D19" t="s">
        <v>19</v>
      </c>
      <c r="E19" t="s">
        <v>13</v>
      </c>
      <c r="F19">
        <v>503.82</v>
      </c>
      <c r="G19">
        <v>548.04999999999995</v>
      </c>
      <c r="H19">
        <f t="shared" si="1"/>
        <v>525.94000000000005</v>
      </c>
      <c r="I19">
        <f t="shared" si="2"/>
        <v>44.23</v>
      </c>
      <c r="K19" t="s">
        <v>37</v>
      </c>
    </row>
    <row r="20" spans="1:11" x14ac:dyDescent="0.25">
      <c r="A20" t="str">
        <f t="shared" si="0"/>
        <v>BP629-10</v>
      </c>
      <c r="B20">
        <v>19</v>
      </c>
      <c r="C20" t="s">
        <v>18</v>
      </c>
      <c r="D20" t="s">
        <v>19</v>
      </c>
      <c r="E20" t="s">
        <v>13</v>
      </c>
      <c r="F20">
        <v>629.41</v>
      </c>
      <c r="G20">
        <v>640</v>
      </c>
      <c r="H20">
        <f t="shared" si="1"/>
        <v>634.71</v>
      </c>
      <c r="I20">
        <f t="shared" si="2"/>
        <v>10.59</v>
      </c>
      <c r="K20" t="s">
        <v>38</v>
      </c>
    </row>
    <row r="21" spans="1:11" x14ac:dyDescent="0.25">
      <c r="A21" t="str">
        <f t="shared" si="0"/>
        <v>BP486-10</v>
      </c>
      <c r="B21">
        <v>20</v>
      </c>
      <c r="C21" t="s">
        <v>18</v>
      </c>
      <c r="D21" t="s">
        <v>19</v>
      </c>
      <c r="E21" t="s">
        <v>13</v>
      </c>
      <c r="F21">
        <v>486.3</v>
      </c>
      <c r="G21">
        <v>496.63</v>
      </c>
      <c r="H21">
        <f t="shared" si="1"/>
        <v>491.47</v>
      </c>
      <c r="I21">
        <f t="shared" si="2"/>
        <v>10.33</v>
      </c>
      <c r="K21" t="s">
        <v>39</v>
      </c>
    </row>
    <row r="22" spans="1:11" x14ac:dyDescent="0.25">
      <c r="A22" t="str">
        <f t="shared" si="0"/>
        <v>BP626-22</v>
      </c>
      <c r="B22">
        <v>21</v>
      </c>
      <c r="C22" t="s">
        <v>18</v>
      </c>
      <c r="D22" t="s">
        <v>19</v>
      </c>
      <c r="E22" t="s">
        <v>13</v>
      </c>
      <c r="F22">
        <v>626.39</v>
      </c>
      <c r="G22">
        <v>648.39</v>
      </c>
      <c r="H22">
        <f t="shared" si="1"/>
        <v>637.39</v>
      </c>
      <c r="I22">
        <f t="shared" si="2"/>
        <v>22</v>
      </c>
      <c r="K22" t="s">
        <v>40</v>
      </c>
    </row>
    <row r="23" spans="1:11" x14ac:dyDescent="0.25">
      <c r="A23" t="str">
        <f t="shared" si="0"/>
        <v>0-0</v>
      </c>
      <c r="B23">
        <v>22</v>
      </c>
      <c r="E23" t="s">
        <v>13</v>
      </c>
      <c r="H23" t="e">
        <f t="shared" si="1"/>
        <v>#DIV/0!</v>
      </c>
      <c r="I23">
        <f t="shared" si="2"/>
        <v>0</v>
      </c>
      <c r="K23" t="s">
        <v>41</v>
      </c>
    </row>
    <row r="24" spans="1:11" x14ac:dyDescent="0.25">
      <c r="A24" t="str">
        <f t="shared" si="0"/>
        <v>BP665-10</v>
      </c>
      <c r="B24">
        <v>23</v>
      </c>
      <c r="C24" t="s">
        <v>18</v>
      </c>
      <c r="D24" t="s">
        <v>19</v>
      </c>
      <c r="E24" t="s">
        <v>13</v>
      </c>
      <c r="F24">
        <v>665.51</v>
      </c>
      <c r="G24">
        <v>676.27</v>
      </c>
      <c r="H24">
        <f t="shared" si="1"/>
        <v>670.89</v>
      </c>
      <c r="I24">
        <f t="shared" si="2"/>
        <v>10.76</v>
      </c>
      <c r="K24" t="s">
        <v>42</v>
      </c>
    </row>
    <row r="25" spans="1:11" x14ac:dyDescent="0.25">
      <c r="A25" t="str">
        <f t="shared" si="0"/>
        <v>BP821-16</v>
      </c>
      <c r="B25">
        <v>24</v>
      </c>
      <c r="C25" t="s">
        <v>18</v>
      </c>
      <c r="D25" t="s">
        <v>19</v>
      </c>
      <c r="E25" t="s">
        <v>13</v>
      </c>
      <c r="F25">
        <v>821.24</v>
      </c>
      <c r="G25">
        <v>837.53</v>
      </c>
      <c r="H25">
        <f t="shared" si="1"/>
        <v>829.39</v>
      </c>
      <c r="I25">
        <f t="shared" si="2"/>
        <v>16.29</v>
      </c>
      <c r="K25" t="s">
        <v>43</v>
      </c>
    </row>
    <row r="26" spans="1:11" x14ac:dyDescent="0.25">
      <c r="A26" t="str">
        <f t="shared" si="0"/>
        <v>0-0</v>
      </c>
      <c r="B26">
        <v>25</v>
      </c>
      <c r="E26" t="s">
        <v>13</v>
      </c>
      <c r="H26" t="e">
        <f t="shared" si="1"/>
        <v>#DIV/0!</v>
      </c>
      <c r="I26">
        <f t="shared" si="2"/>
        <v>0</v>
      </c>
      <c r="K26" t="s">
        <v>44</v>
      </c>
    </row>
    <row r="27" spans="1:11" x14ac:dyDescent="0.25">
      <c r="A27" t="str">
        <f t="shared" si="0"/>
        <v>0-0</v>
      </c>
      <c r="B27">
        <v>26</v>
      </c>
      <c r="E27" t="s">
        <v>13</v>
      </c>
      <c r="H27" t="e">
        <f t="shared" si="1"/>
        <v>#DIV/0!</v>
      </c>
      <c r="I27">
        <f t="shared" si="2"/>
        <v>0</v>
      </c>
      <c r="K27" t="s">
        <v>45</v>
      </c>
    </row>
    <row r="28" spans="1:11" x14ac:dyDescent="0.25">
      <c r="A28" t="str">
        <f t="shared" si="0"/>
        <v>LP423-423</v>
      </c>
      <c r="B28">
        <v>27</v>
      </c>
      <c r="C28" t="s">
        <v>21</v>
      </c>
      <c r="D28" t="s">
        <v>22</v>
      </c>
      <c r="E28" t="s">
        <v>13</v>
      </c>
      <c r="F28">
        <v>423.6</v>
      </c>
      <c r="H28">
        <f t="shared" si="1"/>
        <v>423.6</v>
      </c>
      <c r="I28">
        <f t="shared" si="2"/>
        <v>423.6</v>
      </c>
      <c r="K28" t="s">
        <v>46</v>
      </c>
    </row>
    <row r="29" spans="1:11" x14ac:dyDescent="0.25">
      <c r="A29" t="str">
        <f t="shared" si="0"/>
        <v>0-0</v>
      </c>
      <c r="B29">
        <v>28</v>
      </c>
      <c r="E29" t="s">
        <v>13</v>
      </c>
      <c r="H29" t="e">
        <f t="shared" si="1"/>
        <v>#DIV/0!</v>
      </c>
      <c r="I29">
        <f t="shared" si="2"/>
        <v>0</v>
      </c>
      <c r="K29" t="s">
        <v>47</v>
      </c>
    </row>
    <row r="30" spans="1:11" x14ac:dyDescent="0.25">
      <c r="A30" t="str">
        <f t="shared" si="0"/>
        <v>LP796-796</v>
      </c>
      <c r="B30">
        <v>29</v>
      </c>
      <c r="C30" t="s">
        <v>21</v>
      </c>
      <c r="D30" t="s">
        <v>22</v>
      </c>
      <c r="E30" t="s">
        <v>13</v>
      </c>
      <c r="F30">
        <v>796.68</v>
      </c>
      <c r="H30">
        <f t="shared" si="1"/>
        <v>796.68</v>
      </c>
      <c r="I30">
        <f t="shared" si="2"/>
        <v>796.68</v>
      </c>
      <c r="K30" t="s">
        <v>48</v>
      </c>
    </row>
    <row r="31" spans="1:11" x14ac:dyDescent="0.25">
      <c r="A31" t="str">
        <f t="shared" si="0"/>
        <v>BP405-19</v>
      </c>
      <c r="B31">
        <v>30</v>
      </c>
      <c r="C31" t="s">
        <v>18</v>
      </c>
      <c r="D31" t="s">
        <v>19</v>
      </c>
      <c r="E31" t="s">
        <v>13</v>
      </c>
      <c r="F31">
        <v>405.37</v>
      </c>
      <c r="G31">
        <v>424.69</v>
      </c>
      <c r="H31">
        <f t="shared" si="1"/>
        <v>415.03</v>
      </c>
      <c r="I31">
        <f t="shared" si="2"/>
        <v>19.32</v>
      </c>
      <c r="K31" t="s">
        <v>49</v>
      </c>
    </row>
    <row r="32" spans="1:11" x14ac:dyDescent="0.25">
      <c r="A32" t="str">
        <f t="shared" si="0"/>
        <v>LP492-492</v>
      </c>
      <c r="B32">
        <v>31</v>
      </c>
      <c r="C32" t="s">
        <v>21</v>
      </c>
      <c r="D32" t="s">
        <v>22</v>
      </c>
      <c r="E32" t="s">
        <v>13</v>
      </c>
      <c r="F32">
        <v>492.5</v>
      </c>
      <c r="H32">
        <f t="shared" si="1"/>
        <v>492.5</v>
      </c>
      <c r="I32">
        <f t="shared" si="2"/>
        <v>492.5</v>
      </c>
      <c r="K32" t="s">
        <v>50</v>
      </c>
    </row>
    <row r="33" spans="1:11" x14ac:dyDescent="0.25">
      <c r="A33" t="str">
        <f t="shared" si="0"/>
        <v>LP676-676</v>
      </c>
      <c r="B33">
        <v>32</v>
      </c>
      <c r="C33" t="s">
        <v>21</v>
      </c>
      <c r="D33" t="s">
        <v>22</v>
      </c>
      <c r="E33" t="s">
        <v>13</v>
      </c>
      <c r="F33">
        <v>676.27</v>
      </c>
      <c r="H33">
        <f t="shared" si="1"/>
        <v>676.27</v>
      </c>
      <c r="I33">
        <f t="shared" si="2"/>
        <v>676.27</v>
      </c>
      <c r="K33" t="s">
        <v>51</v>
      </c>
    </row>
    <row r="34" spans="1:11" x14ac:dyDescent="0.25">
      <c r="A34" t="str">
        <f t="shared" si="0"/>
        <v>SP500-500</v>
      </c>
      <c r="B34">
        <v>33</v>
      </c>
      <c r="C34" t="s">
        <v>15</v>
      </c>
      <c r="D34" t="s">
        <v>16</v>
      </c>
      <c r="E34" t="s">
        <v>13</v>
      </c>
      <c r="F34">
        <v>500</v>
      </c>
      <c r="H34">
        <f t="shared" si="1"/>
        <v>500</v>
      </c>
      <c r="I34">
        <f t="shared" si="2"/>
        <v>500</v>
      </c>
      <c r="K34" t="s">
        <v>52</v>
      </c>
    </row>
    <row r="35" spans="1:11" x14ac:dyDescent="0.25">
      <c r="A35" t="str">
        <f t="shared" si="0"/>
        <v>0-0</v>
      </c>
      <c r="B35">
        <v>34</v>
      </c>
      <c r="E35" t="s">
        <v>13</v>
      </c>
      <c r="H35" t="e">
        <f t="shared" si="1"/>
        <v>#DIV/0!</v>
      </c>
      <c r="I35">
        <f t="shared" si="2"/>
        <v>0</v>
      </c>
      <c r="K35" t="s">
        <v>53</v>
      </c>
    </row>
    <row r="36" spans="1:11" x14ac:dyDescent="0.25">
      <c r="A36" t="str">
        <f t="shared" si="0"/>
        <v>0-0</v>
      </c>
      <c r="B36">
        <v>35</v>
      </c>
      <c r="E36" t="s">
        <v>13</v>
      </c>
      <c r="H36" t="e">
        <f t="shared" si="1"/>
        <v>#DIV/0!</v>
      </c>
      <c r="I36">
        <f t="shared" si="2"/>
        <v>0</v>
      </c>
      <c r="K36" t="s">
        <v>54</v>
      </c>
    </row>
    <row r="37" spans="1:11" x14ac:dyDescent="0.25">
      <c r="A37" t="str">
        <f t="shared" si="0"/>
        <v>0-0</v>
      </c>
      <c r="B37">
        <v>36</v>
      </c>
      <c r="E37" t="s">
        <v>13</v>
      </c>
      <c r="H37" t="e">
        <f t="shared" si="1"/>
        <v>#DIV/0!</v>
      </c>
      <c r="I37">
        <f t="shared" si="2"/>
        <v>0</v>
      </c>
      <c r="K37" t="s">
        <v>55</v>
      </c>
    </row>
    <row r="38" spans="1:11" x14ac:dyDescent="0.25">
      <c r="A38" t="str">
        <f t="shared" si="0"/>
        <v>0-0</v>
      </c>
      <c r="B38">
        <v>37</v>
      </c>
      <c r="E38" t="s">
        <v>13</v>
      </c>
      <c r="H38" t="e">
        <f t="shared" si="1"/>
        <v>#DIV/0!</v>
      </c>
      <c r="I38">
        <f t="shared" si="2"/>
        <v>0</v>
      </c>
      <c r="K38" t="s">
        <v>56</v>
      </c>
    </row>
    <row r="39" spans="1:11" x14ac:dyDescent="0.25">
      <c r="A39" t="str">
        <f t="shared" si="0"/>
        <v>0-0</v>
      </c>
      <c r="B39">
        <v>38</v>
      </c>
      <c r="E39" t="s">
        <v>13</v>
      </c>
      <c r="H39" t="e">
        <f t="shared" si="1"/>
        <v>#DIV/0!</v>
      </c>
      <c r="I39">
        <f t="shared" si="2"/>
        <v>0</v>
      </c>
      <c r="K39" t="s">
        <v>57</v>
      </c>
    </row>
    <row r="40" spans="1:11" x14ac:dyDescent="0.25">
      <c r="A40" t="str">
        <f t="shared" si="0"/>
        <v>0-0</v>
      </c>
      <c r="B40">
        <v>39</v>
      </c>
      <c r="E40" t="s">
        <v>13</v>
      </c>
      <c r="H40" t="e">
        <f t="shared" si="1"/>
        <v>#DIV/0!</v>
      </c>
      <c r="I40">
        <f t="shared" si="2"/>
        <v>0</v>
      </c>
      <c r="K40" t="s">
        <v>58</v>
      </c>
    </row>
    <row r="41" spans="1:11" x14ac:dyDescent="0.25">
      <c r="A41" t="str">
        <f t="shared" si="0"/>
        <v>0-0</v>
      </c>
      <c r="B41">
        <v>40</v>
      </c>
      <c r="E41" t="s">
        <v>13</v>
      </c>
      <c r="H41" t="e">
        <f t="shared" si="1"/>
        <v>#DIV/0!</v>
      </c>
      <c r="I41">
        <f t="shared" si="2"/>
        <v>0</v>
      </c>
      <c r="K41" t="s">
        <v>59</v>
      </c>
    </row>
    <row r="42" spans="1:11" x14ac:dyDescent="0.25">
      <c r="A42" t="str">
        <f t="shared" si="0"/>
        <v>0-0</v>
      </c>
      <c r="B42">
        <v>41</v>
      </c>
      <c r="E42" t="s">
        <v>13</v>
      </c>
      <c r="H42" t="e">
        <f t="shared" si="1"/>
        <v>#DIV/0!</v>
      </c>
      <c r="I42">
        <f t="shared" si="2"/>
        <v>0</v>
      </c>
      <c r="K42" t="s">
        <v>60</v>
      </c>
    </row>
    <row r="43" spans="1:11" x14ac:dyDescent="0.25">
      <c r="A43" t="str">
        <f t="shared" si="0"/>
        <v>0-0</v>
      </c>
      <c r="B43">
        <v>42</v>
      </c>
      <c r="E43" t="s">
        <v>13</v>
      </c>
      <c r="H43" t="e">
        <f t="shared" si="1"/>
        <v>#DIV/0!</v>
      </c>
      <c r="I43">
        <f t="shared" si="2"/>
        <v>0</v>
      </c>
      <c r="K43" t="s">
        <v>61</v>
      </c>
    </row>
    <row r="44" spans="1:11" x14ac:dyDescent="0.25">
      <c r="A44" t="str">
        <f t="shared" si="0"/>
        <v>0-0</v>
      </c>
      <c r="B44">
        <v>43</v>
      </c>
      <c r="E44" t="s">
        <v>13</v>
      </c>
      <c r="H44" t="e">
        <f t="shared" si="1"/>
        <v>#DIV/0!</v>
      </c>
      <c r="I44">
        <f t="shared" si="2"/>
        <v>0</v>
      </c>
      <c r="K44" t="s">
        <v>62</v>
      </c>
    </row>
    <row r="45" spans="1:11" x14ac:dyDescent="0.25">
      <c r="A45" t="str">
        <f t="shared" si="0"/>
        <v>0-0</v>
      </c>
      <c r="B45">
        <v>44</v>
      </c>
      <c r="E45" t="s">
        <v>13</v>
      </c>
      <c r="H45" t="e">
        <f t="shared" si="1"/>
        <v>#DIV/0!</v>
      </c>
      <c r="I45">
        <f t="shared" si="2"/>
        <v>0</v>
      </c>
      <c r="K45" t="s">
        <v>63</v>
      </c>
    </row>
    <row r="46" spans="1:11" x14ac:dyDescent="0.25">
      <c r="A46" t="str">
        <f t="shared" si="0"/>
        <v>0-0</v>
      </c>
      <c r="B46">
        <v>45</v>
      </c>
      <c r="E46" t="s">
        <v>13</v>
      </c>
      <c r="H46" t="e">
        <f t="shared" si="1"/>
        <v>#DIV/0!</v>
      </c>
      <c r="I46">
        <f t="shared" si="2"/>
        <v>0</v>
      </c>
      <c r="K46" t="s">
        <v>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hussein El Husseini</cp:lastModifiedBy>
  <dcterms:created xsi:type="dcterms:W3CDTF">2026-07-14T16:57:57Z</dcterms:created>
  <dcterms:modified xsi:type="dcterms:W3CDTF">2026-07-15T10:23:20Z</dcterms:modified>
</cp:coreProperties>
</file>