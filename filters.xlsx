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VERSITY\science de la matière\L2\Filters_Catalog\app\"/>
    </mc:Choice>
  </mc:AlternateContent>
  <xr:revisionPtr revIDLastSave="0" documentId="13_ncr:1_{63123459-A96A-4FE1-9E4D-50F9BC92D4F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A51" i="1" l="1"/>
  <c r="I47" i="1"/>
  <c r="A47" i="1" s="1"/>
  <c r="I48" i="1"/>
  <c r="A48" i="1" s="1"/>
  <c r="I49" i="1"/>
  <c r="A49" i="1" s="1"/>
  <c r="I50" i="1"/>
  <c r="A50" i="1" s="1"/>
  <c r="I51" i="1"/>
  <c r="H47" i="1"/>
  <c r="H48" i="1"/>
  <c r="H49" i="1"/>
  <c r="H50" i="1"/>
  <c r="H51" i="1"/>
  <c r="L51" i="1"/>
  <c r="L50" i="1"/>
  <c r="L49" i="1"/>
  <c r="L48" i="1"/>
  <c r="L47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2" i="2"/>
  <c r="A3" i="2"/>
  <c r="A4" i="2"/>
  <c r="A5" i="2"/>
  <c r="A6" i="2"/>
  <c r="A7" i="2"/>
  <c r="A8" i="2"/>
  <c r="A10" i="2"/>
  <c r="A11" i="2"/>
  <c r="A12" i="2"/>
  <c r="A13" i="2"/>
  <c r="A15" i="2"/>
  <c r="A17" i="2"/>
  <c r="A18" i="2"/>
  <c r="A19" i="2"/>
  <c r="A20" i="2"/>
  <c r="A21" i="2"/>
  <c r="A22" i="2"/>
  <c r="A24" i="2"/>
  <c r="A25" i="2"/>
  <c r="A26" i="2"/>
  <c r="A28" i="2"/>
  <c r="A30" i="2"/>
  <c r="A31" i="2"/>
  <c r="A32" i="2"/>
  <c r="A33" i="2"/>
  <c r="A34" i="2"/>
  <c r="A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2" i="1"/>
  <c r="H34" i="1"/>
  <c r="A3" i="1"/>
  <c r="A9" i="1"/>
  <c r="A9" i="2" s="1"/>
  <c r="A11" i="1"/>
  <c r="A13" i="1"/>
  <c r="A19" i="1"/>
  <c r="A21" i="1"/>
  <c r="A35" i="1"/>
  <c r="A35" i="2" s="1"/>
  <c r="A36" i="1"/>
  <c r="A36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5" i="1"/>
  <c r="H36" i="1"/>
  <c r="H37" i="1"/>
  <c r="H38" i="1"/>
  <c r="H39" i="1"/>
  <c r="H40" i="1"/>
  <c r="H41" i="1"/>
  <c r="H42" i="1"/>
  <c r="H43" i="1"/>
  <c r="H44" i="1"/>
  <c r="H45" i="1"/>
  <c r="H46" i="1"/>
  <c r="H2" i="1"/>
  <c r="I3" i="1"/>
  <c r="I4" i="1"/>
  <c r="A4" i="1" s="1"/>
  <c r="I5" i="1"/>
  <c r="A5" i="1" s="1"/>
  <c r="I6" i="1"/>
  <c r="A6" i="1" s="1"/>
  <c r="I7" i="1"/>
  <c r="A7" i="1" s="1"/>
  <c r="I8" i="1"/>
  <c r="A8" i="1" s="1"/>
  <c r="I9" i="1"/>
  <c r="I10" i="1"/>
  <c r="A10" i="1" s="1"/>
  <c r="I11" i="1"/>
  <c r="I12" i="1"/>
  <c r="A12" i="1" s="1"/>
  <c r="I13" i="1"/>
  <c r="I14" i="1"/>
  <c r="A14" i="1" s="1"/>
  <c r="A14" i="2" s="1"/>
  <c r="I15" i="1"/>
  <c r="A15" i="1" s="1"/>
  <c r="I16" i="1"/>
  <c r="A16" i="1" s="1"/>
  <c r="A16" i="2" s="1"/>
  <c r="I17" i="1"/>
  <c r="A17" i="1" s="1"/>
  <c r="I18" i="1"/>
  <c r="A18" i="1" s="1"/>
  <c r="I19" i="1"/>
  <c r="I20" i="1"/>
  <c r="A20" i="1" s="1"/>
  <c r="I21" i="1"/>
  <c r="I22" i="1"/>
  <c r="A22" i="1" s="1"/>
  <c r="I23" i="1"/>
  <c r="A23" i="1" s="1"/>
  <c r="A23" i="2" s="1"/>
  <c r="I24" i="1"/>
  <c r="A24" i="1" s="1"/>
  <c r="I25" i="1"/>
  <c r="A25" i="1" s="1"/>
  <c r="I26" i="1"/>
  <c r="A26" i="1" s="1"/>
  <c r="I27" i="1"/>
  <c r="A27" i="1" s="1"/>
  <c r="A27" i="2" s="1"/>
  <c r="I28" i="1"/>
  <c r="A28" i="1" s="1"/>
  <c r="I29" i="1"/>
  <c r="A29" i="1" s="1"/>
  <c r="A29" i="2" s="1"/>
  <c r="I30" i="1"/>
  <c r="A30" i="1" s="1"/>
  <c r="I31" i="1"/>
  <c r="A31" i="1" s="1"/>
  <c r="I32" i="1"/>
  <c r="A32" i="1" s="1"/>
  <c r="I33" i="1"/>
  <c r="A33" i="1" s="1"/>
  <c r="I34" i="1"/>
  <c r="A34" i="1" s="1"/>
  <c r="I35" i="1"/>
  <c r="I36" i="1"/>
  <c r="I37" i="1"/>
  <c r="A37" i="1" s="1"/>
  <c r="A37" i="2" s="1"/>
  <c r="I38" i="1"/>
  <c r="A38" i="1" s="1"/>
  <c r="A38" i="2" s="1"/>
  <c r="I39" i="1"/>
  <c r="A39" i="1" s="1"/>
  <c r="A39" i="2" s="1"/>
  <c r="I40" i="1"/>
  <c r="A40" i="1" s="1"/>
  <c r="A40" i="2" s="1"/>
  <c r="I41" i="1"/>
  <c r="A41" i="1" s="1"/>
  <c r="A41" i="2" s="1"/>
  <c r="I42" i="1"/>
  <c r="A42" i="1" s="1"/>
  <c r="A42" i="2" s="1"/>
  <c r="I43" i="1"/>
  <c r="A43" i="1" s="1"/>
  <c r="A43" i="2" s="1"/>
  <c r="I44" i="1"/>
  <c r="A44" i="1" s="1"/>
  <c r="A44" i="2" s="1"/>
  <c r="I45" i="1"/>
  <c r="A45" i="1" s="1"/>
  <c r="A45" i="2" s="1"/>
  <c r="I46" i="1"/>
  <c r="A46" i="1" s="1"/>
  <c r="A46" i="2" s="1"/>
  <c r="I2" i="1"/>
  <c r="A2" i="1" s="1"/>
</calcChain>
</file>

<file path=xl/sharedStrings.xml><?xml version="1.0" encoding="utf-8"?>
<sst xmlns="http://schemas.openxmlformats.org/spreadsheetml/2006/main" count="212" uniqueCount="79">
  <si>
    <t>catalog_number</t>
  </si>
  <si>
    <t>filter_id</t>
  </si>
  <si>
    <t>description</t>
  </si>
  <si>
    <t>filter_type</t>
  </si>
  <si>
    <t>supplier</t>
  </si>
  <si>
    <t>cut_on_nm</t>
  </si>
  <si>
    <t>cut_off_nm</t>
  </si>
  <si>
    <t>center_nm</t>
  </si>
  <si>
    <t>bandwidth_nm</t>
  </si>
  <si>
    <t>photo</t>
  </si>
  <si>
    <t>raw_file</t>
  </si>
  <si>
    <t>Band-stop filter</t>
  </si>
  <si>
    <t>BS</t>
  </si>
  <si>
    <t>unknown</t>
  </si>
  <si>
    <t>1.txt</t>
  </si>
  <si>
    <t>Short Pass</t>
  </si>
  <si>
    <t>SP</t>
  </si>
  <si>
    <t>2.txt</t>
  </si>
  <si>
    <t>Band Pass</t>
  </si>
  <si>
    <t>BP</t>
  </si>
  <si>
    <t>3.txt</t>
  </si>
  <si>
    <t>Long Pass</t>
  </si>
  <si>
    <t>LP</t>
  </si>
  <si>
    <t>4.txt</t>
  </si>
  <si>
    <t>5.txt</t>
  </si>
  <si>
    <t>6.txt</t>
  </si>
  <si>
    <t>7.txt</t>
  </si>
  <si>
    <t>8.txt</t>
  </si>
  <si>
    <t>9.txt</t>
  </si>
  <si>
    <t>10.txt</t>
  </si>
  <si>
    <t>11.txt</t>
  </si>
  <si>
    <t>12.txt</t>
  </si>
  <si>
    <t>13.txt</t>
  </si>
  <si>
    <t>14.txt</t>
  </si>
  <si>
    <t>15.txt</t>
  </si>
  <si>
    <t>16.txt</t>
  </si>
  <si>
    <t>17.txt</t>
  </si>
  <si>
    <t>18.txt</t>
  </si>
  <si>
    <t>19.txt</t>
  </si>
  <si>
    <t>20.txt</t>
  </si>
  <si>
    <t>21.txt</t>
  </si>
  <si>
    <t>22.txt</t>
  </si>
  <si>
    <t>23.txt</t>
  </si>
  <si>
    <t>24.txt</t>
  </si>
  <si>
    <t>25.txt</t>
  </si>
  <si>
    <t>26.txt</t>
  </si>
  <si>
    <t>27.txt</t>
  </si>
  <si>
    <t>28.txt</t>
  </si>
  <si>
    <t>29.txt</t>
  </si>
  <si>
    <t>30.txt</t>
  </si>
  <si>
    <t>31.txt</t>
  </si>
  <si>
    <t>32.txt</t>
  </si>
  <si>
    <t>33.txt</t>
  </si>
  <si>
    <t>34.txt</t>
  </si>
  <si>
    <t>D1.txt</t>
  </si>
  <si>
    <t>D2.txt</t>
  </si>
  <si>
    <t>D3.txt</t>
  </si>
  <si>
    <t>D4.txt</t>
  </si>
  <si>
    <t>D5.txt</t>
  </si>
  <si>
    <t>D6.txt</t>
  </si>
  <si>
    <t>D7.txt</t>
  </si>
  <si>
    <t>R1.txt</t>
  </si>
  <si>
    <t>R2.txt</t>
  </si>
  <si>
    <t>R3.txt</t>
  </si>
  <si>
    <t>R4.txt</t>
  </si>
  <si>
    <t>qrcode</t>
  </si>
  <si>
    <t>qr_code</t>
  </si>
  <si>
    <t>35.txt</t>
  </si>
  <si>
    <t>36.txt</t>
  </si>
  <si>
    <t>37.txt</t>
  </si>
  <si>
    <t>38.txt</t>
  </si>
  <si>
    <t>39.txt</t>
  </si>
  <si>
    <t>Band Cut</t>
  </si>
  <si>
    <t>BC</t>
  </si>
  <si>
    <t>Complex</t>
  </si>
  <si>
    <t>C</t>
  </si>
  <si>
    <t>Sp</t>
  </si>
  <si>
    <t>CBC</t>
  </si>
  <si>
    <t>Complex Band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</si>
</sst>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B1" zoomScaleNormal="100" workbookViewId="0">
      <selection activeCell="H9" sqref="H9"/>
    </sheetView>
  </sheetViews>
  <sheetFormatPr defaultRowHeight="15" x14ac:dyDescent="0.25"/>
  <cols>
    <col min="1" max="1" width="15.42578125" bestFit="1" customWidth="1"/>
    <col min="3" max="3" width="17.42578125" bestFit="1" customWidth="1"/>
    <col min="4" max="4" width="10.42578125" bestFit="1" customWidth="1"/>
    <col min="6" max="6" width="10.85546875" bestFit="1" customWidth="1"/>
    <col min="7" max="7" width="11.140625" bestFit="1" customWidth="1"/>
    <col min="8" max="8" width="10.5703125" bestFit="1" customWidth="1"/>
    <col min="9" max="9" width="14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65</v>
      </c>
    </row>
    <row r="2" spans="1:12" x14ac:dyDescent="0.25">
      <c r="A2" t="str">
        <f>CONCATENATE(D2,INT(F2),"-",INT(I2))</f>
        <v>BS524-13</v>
      </c>
      <c r="B2">
        <v>1</v>
      </c>
      <c r="C2" t="s">
        <v>11</v>
      </c>
      <c r="D2" t="s">
        <v>12</v>
      </c>
      <c r="E2" t="s">
        <v>13</v>
      </c>
      <c r="F2">
        <v>524.79999999999995</v>
      </c>
      <c r="G2">
        <v>538.47</v>
      </c>
      <c r="H2">
        <f>ROUND(AVERAGE(F2,G2),2)</f>
        <v>531.64</v>
      </c>
      <c r="I2">
        <f>ROUND(ABS(F2-G2),2)</f>
        <v>13.67</v>
      </c>
      <c r="K2" t="s">
        <v>14</v>
      </c>
      <c r="L2" t="str">
        <f xml:space="preserve"> CONCATENATE(B2,".png")</f>
        <v>1.png</v>
      </c>
    </row>
    <row r="3" spans="1:12" x14ac:dyDescent="0.25">
      <c r="A3" t="str">
        <f t="shared" ref="A3:A51" si="0">CONCATENATE(D3,INT(F3),"-",INT(I3))</f>
        <v>SP453-121</v>
      </c>
      <c r="B3">
        <v>2</v>
      </c>
      <c r="C3" t="s">
        <v>15</v>
      </c>
      <c r="D3" t="s">
        <v>16</v>
      </c>
      <c r="E3" t="s">
        <v>13</v>
      </c>
      <c r="F3">
        <v>453.01</v>
      </c>
      <c r="G3">
        <v>574.37</v>
      </c>
      <c r="H3">
        <f t="shared" ref="H3:H51" si="1">ROUND(AVERAGE(F3,G3),2)</f>
        <v>513.69000000000005</v>
      </c>
      <c r="I3">
        <f t="shared" ref="I3:I51" si="2">ROUND(ABS(F3-G3),2)</f>
        <v>121.36</v>
      </c>
      <c r="K3" t="s">
        <v>17</v>
      </c>
      <c r="L3" t="str">
        <f t="shared" ref="L3:L51" si="3" xml:space="preserve"> CONCATENATE(B3,".png")</f>
        <v>2.png</v>
      </c>
    </row>
    <row r="4" spans="1:12" x14ac:dyDescent="0.25">
      <c r="A4" t="str">
        <f t="shared" si="0"/>
        <v>BP528-44</v>
      </c>
      <c r="B4">
        <v>3</v>
      </c>
      <c r="C4" t="s">
        <v>18</v>
      </c>
      <c r="D4" t="s">
        <v>19</v>
      </c>
      <c r="E4" t="s">
        <v>13</v>
      </c>
      <c r="F4">
        <v>528.82000000000005</v>
      </c>
      <c r="G4">
        <v>573.37</v>
      </c>
      <c r="H4">
        <f t="shared" si="1"/>
        <v>551.1</v>
      </c>
      <c r="I4">
        <f t="shared" si="2"/>
        <v>44.55</v>
      </c>
      <c r="K4" t="s">
        <v>20</v>
      </c>
      <c r="L4" t="str">
        <f t="shared" si="3"/>
        <v>3.png</v>
      </c>
    </row>
    <row r="5" spans="1:12" x14ac:dyDescent="0.25">
      <c r="A5" t="str">
        <f t="shared" si="0"/>
        <v>LP531-531</v>
      </c>
      <c r="B5">
        <v>4</v>
      </c>
      <c r="C5" t="s">
        <v>21</v>
      </c>
      <c r="D5" t="s">
        <v>22</v>
      </c>
      <c r="E5" t="s">
        <v>13</v>
      </c>
      <c r="F5">
        <v>531.49</v>
      </c>
      <c r="H5">
        <f t="shared" si="1"/>
        <v>531.49</v>
      </c>
      <c r="I5">
        <f t="shared" si="2"/>
        <v>531.49</v>
      </c>
      <c r="K5" t="s">
        <v>23</v>
      </c>
      <c r="L5" t="str">
        <f t="shared" si="3"/>
        <v>4.png</v>
      </c>
    </row>
    <row r="6" spans="1:12" x14ac:dyDescent="0.25">
      <c r="A6" t="str">
        <f t="shared" si="0"/>
        <v>BP539-11</v>
      </c>
      <c r="B6">
        <v>5</v>
      </c>
      <c r="C6" t="s">
        <v>18</v>
      </c>
      <c r="D6" t="s">
        <v>19</v>
      </c>
      <c r="E6" t="s">
        <v>13</v>
      </c>
      <c r="F6">
        <v>539.79999999999995</v>
      </c>
      <c r="G6">
        <v>551</v>
      </c>
      <c r="H6">
        <f t="shared" si="1"/>
        <v>545.4</v>
      </c>
      <c r="I6">
        <f t="shared" si="2"/>
        <v>11.2</v>
      </c>
      <c r="K6" t="s">
        <v>24</v>
      </c>
      <c r="L6" t="str">
        <f t="shared" si="3"/>
        <v>5.png</v>
      </c>
    </row>
    <row r="7" spans="1:12" x14ac:dyDescent="0.25">
      <c r="A7" t="str">
        <f t="shared" si="0"/>
        <v>LP610-610</v>
      </c>
      <c r="B7">
        <v>6</v>
      </c>
      <c r="C7" t="s">
        <v>21</v>
      </c>
      <c r="D7" t="s">
        <v>22</v>
      </c>
      <c r="E7" t="s">
        <v>13</v>
      </c>
      <c r="F7">
        <v>610</v>
      </c>
      <c r="H7">
        <f t="shared" si="1"/>
        <v>610</v>
      </c>
      <c r="I7">
        <f t="shared" si="2"/>
        <v>610</v>
      </c>
      <c r="K7" t="s">
        <v>25</v>
      </c>
      <c r="L7" t="str">
        <f t="shared" si="3"/>
        <v>6.png</v>
      </c>
    </row>
    <row r="8" spans="1:12" x14ac:dyDescent="0.25">
      <c r="A8" t="str">
        <f t="shared" si="0"/>
        <v>LP475-475</v>
      </c>
      <c r="B8">
        <v>7</v>
      </c>
      <c r="C8" t="s">
        <v>21</v>
      </c>
      <c r="D8" t="s">
        <v>22</v>
      </c>
      <c r="E8" t="s">
        <v>13</v>
      </c>
      <c r="F8">
        <v>475.9</v>
      </c>
      <c r="H8">
        <f t="shared" si="1"/>
        <v>475.9</v>
      </c>
      <c r="I8">
        <f t="shared" si="2"/>
        <v>475.9</v>
      </c>
      <c r="K8" t="s">
        <v>26</v>
      </c>
      <c r="L8" t="str">
        <f t="shared" si="3"/>
        <v>7.png</v>
      </c>
    </row>
    <row r="9" spans="1:12" x14ac:dyDescent="0.25">
      <c r="A9" t="str">
        <f t="shared" si="0"/>
        <v>CBC479-177</v>
      </c>
      <c r="B9">
        <v>8</v>
      </c>
      <c r="C9" t="s">
        <v>78</v>
      </c>
      <c r="D9" t="s">
        <v>77</v>
      </c>
      <c r="E9" t="s">
        <v>13</v>
      </c>
      <c r="F9">
        <v>479</v>
      </c>
      <c r="G9">
        <v>656</v>
      </c>
      <c r="H9">
        <f t="shared" si="1"/>
        <v>567.5</v>
      </c>
      <c r="I9">
        <f t="shared" si="2"/>
        <v>177</v>
      </c>
      <c r="K9" t="s">
        <v>27</v>
      </c>
      <c r="L9" t="str">
        <f t="shared" si="3"/>
        <v>8.png</v>
      </c>
    </row>
    <row r="10" spans="1:12" x14ac:dyDescent="0.25">
      <c r="A10" t="str">
        <f t="shared" si="0"/>
        <v>BP625-22</v>
      </c>
      <c r="B10">
        <v>9</v>
      </c>
      <c r="C10" t="s">
        <v>18</v>
      </c>
      <c r="D10" t="s">
        <v>19</v>
      </c>
      <c r="E10" t="s">
        <v>13</v>
      </c>
      <c r="F10">
        <v>625.45000000000005</v>
      </c>
      <c r="G10">
        <v>648.39</v>
      </c>
      <c r="H10">
        <f t="shared" si="1"/>
        <v>636.91999999999996</v>
      </c>
      <c r="I10">
        <f t="shared" si="2"/>
        <v>22.94</v>
      </c>
      <c r="K10" t="s">
        <v>28</v>
      </c>
      <c r="L10" t="str">
        <f t="shared" si="3"/>
        <v>9.png</v>
      </c>
    </row>
    <row r="11" spans="1:12" x14ac:dyDescent="0.25">
      <c r="A11" t="str">
        <f t="shared" si="0"/>
        <v>BP697-3</v>
      </c>
      <c r="B11">
        <v>10</v>
      </c>
      <c r="C11" t="s">
        <v>18</v>
      </c>
      <c r="D11" t="s">
        <v>19</v>
      </c>
      <c r="E11" t="s">
        <v>13</v>
      </c>
      <c r="F11">
        <v>697.95</v>
      </c>
      <c r="G11">
        <v>701.03</v>
      </c>
      <c r="H11">
        <f t="shared" si="1"/>
        <v>699.49</v>
      </c>
      <c r="I11">
        <f t="shared" si="2"/>
        <v>3.08</v>
      </c>
      <c r="K11" t="s">
        <v>29</v>
      </c>
      <c r="L11" t="str">
        <f t="shared" si="3"/>
        <v>10.png</v>
      </c>
    </row>
    <row r="12" spans="1:12" x14ac:dyDescent="0.25">
      <c r="A12" t="str">
        <f t="shared" si="0"/>
        <v>SP549-549</v>
      </c>
      <c r="B12">
        <v>11</v>
      </c>
      <c r="C12" t="s">
        <v>15</v>
      </c>
      <c r="D12" t="s">
        <v>16</v>
      </c>
      <c r="E12" t="s">
        <v>13</v>
      </c>
      <c r="F12">
        <v>549.69000000000005</v>
      </c>
      <c r="H12">
        <f t="shared" si="1"/>
        <v>549.69000000000005</v>
      </c>
      <c r="I12">
        <f t="shared" si="2"/>
        <v>549.69000000000005</v>
      </c>
      <c r="K12" t="s">
        <v>30</v>
      </c>
      <c r="L12" t="str">
        <f t="shared" si="3"/>
        <v>11.png</v>
      </c>
    </row>
    <row r="13" spans="1:12" x14ac:dyDescent="0.25">
      <c r="A13" t="str">
        <f t="shared" si="0"/>
        <v>BP658-15</v>
      </c>
      <c r="B13">
        <v>12</v>
      </c>
      <c r="C13" t="s">
        <v>18</v>
      </c>
      <c r="D13" t="s">
        <v>19</v>
      </c>
      <c r="E13" t="s">
        <v>13</v>
      </c>
      <c r="F13">
        <v>658.47</v>
      </c>
      <c r="G13">
        <v>674.24</v>
      </c>
      <c r="H13">
        <f t="shared" si="1"/>
        <v>666.36</v>
      </c>
      <c r="I13">
        <f t="shared" si="2"/>
        <v>15.77</v>
      </c>
      <c r="K13" t="s">
        <v>31</v>
      </c>
      <c r="L13" t="str">
        <f t="shared" si="3"/>
        <v>12.png</v>
      </c>
    </row>
    <row r="14" spans="1:12" x14ac:dyDescent="0.25">
      <c r="A14" t="str">
        <f t="shared" si="0"/>
        <v>Sp630-630</v>
      </c>
      <c r="B14">
        <v>13</v>
      </c>
      <c r="C14" t="s">
        <v>15</v>
      </c>
      <c r="D14" t="s">
        <v>76</v>
      </c>
      <c r="E14" t="s">
        <v>13</v>
      </c>
      <c r="F14">
        <v>630</v>
      </c>
      <c r="H14">
        <f t="shared" si="1"/>
        <v>630</v>
      </c>
      <c r="I14">
        <f t="shared" si="2"/>
        <v>630</v>
      </c>
      <c r="K14" t="s">
        <v>32</v>
      </c>
      <c r="L14" t="str">
        <f t="shared" si="3"/>
        <v>13.png</v>
      </c>
    </row>
    <row r="15" spans="1:12" x14ac:dyDescent="0.25">
      <c r="A15" t="str">
        <f t="shared" si="0"/>
        <v>BP532-23</v>
      </c>
      <c r="B15">
        <v>14</v>
      </c>
      <c r="C15" t="s">
        <v>18</v>
      </c>
      <c r="D15" t="s">
        <v>19</v>
      </c>
      <c r="E15" t="s">
        <v>13</v>
      </c>
      <c r="F15">
        <v>532.49</v>
      </c>
      <c r="G15">
        <v>556.24</v>
      </c>
      <c r="H15">
        <f t="shared" si="1"/>
        <v>544.37</v>
      </c>
      <c r="I15">
        <f t="shared" si="2"/>
        <v>23.75</v>
      </c>
      <c r="K15" t="s">
        <v>33</v>
      </c>
      <c r="L15" t="str">
        <f t="shared" si="3"/>
        <v>14.png</v>
      </c>
    </row>
    <row r="16" spans="1:12" x14ac:dyDescent="0.25">
      <c r="A16" t="str">
        <f t="shared" si="0"/>
        <v>CBC506-184</v>
      </c>
      <c r="B16">
        <v>15</v>
      </c>
      <c r="C16" t="s">
        <v>78</v>
      </c>
      <c r="D16" t="s">
        <v>77</v>
      </c>
      <c r="E16" t="s">
        <v>13</v>
      </c>
      <c r="F16">
        <v>506</v>
      </c>
      <c r="G16">
        <v>690</v>
      </c>
      <c r="H16">
        <f t="shared" si="1"/>
        <v>598</v>
      </c>
      <c r="I16">
        <f t="shared" si="2"/>
        <v>184</v>
      </c>
      <c r="K16" t="s">
        <v>34</v>
      </c>
      <c r="L16" t="str">
        <f t="shared" si="3"/>
        <v>15.png</v>
      </c>
    </row>
    <row r="17" spans="1:12" x14ac:dyDescent="0.25">
      <c r="A17" t="str">
        <f t="shared" si="0"/>
        <v>LP545-545</v>
      </c>
      <c r="B17">
        <v>16</v>
      </c>
      <c r="C17" t="s">
        <v>21</v>
      </c>
      <c r="D17" t="s">
        <v>22</v>
      </c>
      <c r="E17" t="s">
        <v>13</v>
      </c>
      <c r="F17">
        <v>545.41999999999996</v>
      </c>
      <c r="H17">
        <f t="shared" si="1"/>
        <v>545.41999999999996</v>
      </c>
      <c r="I17">
        <f t="shared" si="2"/>
        <v>545.41999999999996</v>
      </c>
      <c r="K17" t="s">
        <v>35</v>
      </c>
      <c r="L17" t="str">
        <f t="shared" si="3"/>
        <v>16.png</v>
      </c>
    </row>
    <row r="18" spans="1:12" x14ac:dyDescent="0.25">
      <c r="A18" t="str">
        <f t="shared" si="0"/>
        <v>BP431-39</v>
      </c>
      <c r="B18">
        <v>17</v>
      </c>
      <c r="C18" t="s">
        <v>18</v>
      </c>
      <c r="D18" t="s">
        <v>19</v>
      </c>
      <c r="E18" t="s">
        <v>13</v>
      </c>
      <c r="F18">
        <v>431.19</v>
      </c>
      <c r="G18">
        <v>470.28</v>
      </c>
      <c r="H18">
        <f t="shared" si="1"/>
        <v>450.74</v>
      </c>
      <c r="I18">
        <f t="shared" si="2"/>
        <v>39.090000000000003</v>
      </c>
      <c r="K18" t="s">
        <v>36</v>
      </c>
      <c r="L18" t="str">
        <f t="shared" si="3"/>
        <v>17.png</v>
      </c>
    </row>
    <row r="19" spans="1:12" x14ac:dyDescent="0.25">
      <c r="A19" t="str">
        <f t="shared" si="0"/>
        <v>BP503-44</v>
      </c>
      <c r="B19">
        <v>18</v>
      </c>
      <c r="C19" t="s">
        <v>18</v>
      </c>
      <c r="D19" t="s">
        <v>19</v>
      </c>
      <c r="E19" t="s">
        <v>13</v>
      </c>
      <c r="F19">
        <v>503.82</v>
      </c>
      <c r="G19">
        <v>548.04999999999995</v>
      </c>
      <c r="H19">
        <f t="shared" si="1"/>
        <v>525.94000000000005</v>
      </c>
      <c r="I19">
        <f t="shared" si="2"/>
        <v>44.23</v>
      </c>
      <c r="K19" t="s">
        <v>37</v>
      </c>
      <c r="L19" t="str">
        <f t="shared" si="3"/>
        <v>18.png</v>
      </c>
    </row>
    <row r="20" spans="1:12" x14ac:dyDescent="0.25">
      <c r="A20" t="str">
        <f t="shared" si="0"/>
        <v>BP629-10</v>
      </c>
      <c r="B20">
        <v>19</v>
      </c>
      <c r="C20" t="s">
        <v>18</v>
      </c>
      <c r="D20" t="s">
        <v>19</v>
      </c>
      <c r="E20" t="s">
        <v>13</v>
      </c>
      <c r="F20">
        <v>629.41</v>
      </c>
      <c r="G20">
        <v>640</v>
      </c>
      <c r="H20">
        <f t="shared" si="1"/>
        <v>634.71</v>
      </c>
      <c r="I20">
        <f t="shared" si="2"/>
        <v>10.59</v>
      </c>
      <c r="K20" t="s">
        <v>38</v>
      </c>
      <c r="L20" t="str">
        <f t="shared" si="3"/>
        <v>19.png</v>
      </c>
    </row>
    <row r="21" spans="1:12" x14ac:dyDescent="0.25">
      <c r="A21" t="str">
        <f t="shared" si="0"/>
        <v>BP486-10</v>
      </c>
      <c r="B21">
        <v>20</v>
      </c>
      <c r="C21" t="s">
        <v>18</v>
      </c>
      <c r="D21" t="s">
        <v>19</v>
      </c>
      <c r="E21" t="s">
        <v>13</v>
      </c>
      <c r="F21">
        <v>486.3</v>
      </c>
      <c r="G21">
        <v>496.63</v>
      </c>
      <c r="H21">
        <f t="shared" si="1"/>
        <v>491.47</v>
      </c>
      <c r="I21">
        <f t="shared" si="2"/>
        <v>10.33</v>
      </c>
      <c r="K21" t="s">
        <v>39</v>
      </c>
      <c r="L21" t="str">
        <f t="shared" si="3"/>
        <v>20.png</v>
      </c>
    </row>
    <row r="22" spans="1:12" x14ac:dyDescent="0.25">
      <c r="A22" t="str">
        <f t="shared" si="0"/>
        <v>BP626-22</v>
      </c>
      <c r="B22">
        <v>21</v>
      </c>
      <c r="C22" t="s">
        <v>18</v>
      </c>
      <c r="D22" t="s">
        <v>19</v>
      </c>
      <c r="E22" t="s">
        <v>13</v>
      </c>
      <c r="F22">
        <v>626.39</v>
      </c>
      <c r="G22">
        <v>648.39</v>
      </c>
      <c r="H22">
        <f t="shared" si="1"/>
        <v>637.39</v>
      </c>
      <c r="I22">
        <f t="shared" si="2"/>
        <v>22</v>
      </c>
      <c r="K22" t="s">
        <v>40</v>
      </c>
      <c r="L22" t="str">
        <f t="shared" si="3"/>
        <v>21.png</v>
      </c>
    </row>
    <row r="23" spans="1:12" x14ac:dyDescent="0.25">
      <c r="A23" t="str">
        <f t="shared" si="0"/>
        <v>BP625-23</v>
      </c>
      <c r="B23">
        <v>22</v>
      </c>
      <c r="C23" t="s">
        <v>18</v>
      </c>
      <c r="D23" t="s">
        <v>19</v>
      </c>
      <c r="E23" t="s">
        <v>13</v>
      </c>
      <c r="F23">
        <v>625.75</v>
      </c>
      <c r="G23">
        <v>648.86</v>
      </c>
      <c r="H23">
        <f t="shared" si="1"/>
        <v>637.30999999999995</v>
      </c>
      <c r="I23">
        <f t="shared" si="2"/>
        <v>23.11</v>
      </c>
      <c r="K23" t="s">
        <v>41</v>
      </c>
      <c r="L23" t="str">
        <f t="shared" si="3"/>
        <v>22.png</v>
      </c>
    </row>
    <row r="24" spans="1:12" x14ac:dyDescent="0.25">
      <c r="A24" t="str">
        <f t="shared" si="0"/>
        <v>BP665-10</v>
      </c>
      <c r="B24">
        <v>23</v>
      </c>
      <c r="C24" t="s">
        <v>18</v>
      </c>
      <c r="D24" t="s">
        <v>19</v>
      </c>
      <c r="E24" t="s">
        <v>13</v>
      </c>
      <c r="F24">
        <v>665.51</v>
      </c>
      <c r="G24">
        <v>676.27</v>
      </c>
      <c r="H24">
        <f t="shared" si="1"/>
        <v>670.89</v>
      </c>
      <c r="I24">
        <f t="shared" si="2"/>
        <v>10.76</v>
      </c>
      <c r="K24" t="s">
        <v>42</v>
      </c>
      <c r="L24" t="str">
        <f t="shared" si="3"/>
        <v>23.png</v>
      </c>
    </row>
    <row r="25" spans="1:12" x14ac:dyDescent="0.25">
      <c r="A25" t="str">
        <f t="shared" si="0"/>
        <v>BP821-16</v>
      </c>
      <c r="B25">
        <v>24</v>
      </c>
      <c r="C25" t="s">
        <v>18</v>
      </c>
      <c r="D25" t="s">
        <v>19</v>
      </c>
      <c r="E25" t="s">
        <v>13</v>
      </c>
      <c r="F25">
        <v>821.24</v>
      </c>
      <c r="G25">
        <v>837.53</v>
      </c>
      <c r="H25">
        <f t="shared" si="1"/>
        <v>829.39</v>
      </c>
      <c r="I25">
        <f t="shared" si="2"/>
        <v>16.29</v>
      </c>
      <c r="K25" t="s">
        <v>43</v>
      </c>
      <c r="L25" t="str">
        <f t="shared" si="3"/>
        <v>24.png</v>
      </c>
    </row>
    <row r="26" spans="1:12" x14ac:dyDescent="0.25">
      <c r="A26" t="str">
        <f t="shared" si="0"/>
        <v>0-0</v>
      </c>
      <c r="B26">
        <v>25</v>
      </c>
      <c r="E26" t="s">
        <v>13</v>
      </c>
      <c r="H26" t="e">
        <f t="shared" si="1"/>
        <v>#DIV/0!</v>
      </c>
      <c r="I26">
        <f t="shared" si="2"/>
        <v>0</v>
      </c>
      <c r="K26" t="s">
        <v>44</v>
      </c>
      <c r="L26" t="str">
        <f t="shared" si="3"/>
        <v>25.png</v>
      </c>
    </row>
    <row r="27" spans="1:12" x14ac:dyDescent="0.25">
      <c r="A27" t="str">
        <f t="shared" si="0"/>
        <v>LP798-798</v>
      </c>
      <c r="B27">
        <v>26</v>
      </c>
      <c r="C27" t="s">
        <v>21</v>
      </c>
      <c r="D27" t="s">
        <v>22</v>
      </c>
      <c r="E27" t="s">
        <v>13</v>
      </c>
      <c r="F27">
        <v>798</v>
      </c>
      <c r="H27">
        <f t="shared" si="1"/>
        <v>798</v>
      </c>
      <c r="I27">
        <f t="shared" si="2"/>
        <v>798</v>
      </c>
      <c r="K27" t="s">
        <v>45</v>
      </c>
      <c r="L27" t="str">
        <f t="shared" si="3"/>
        <v>26.png</v>
      </c>
    </row>
    <row r="28" spans="1:12" x14ac:dyDescent="0.25">
      <c r="A28" t="str">
        <f t="shared" si="0"/>
        <v>LP423-423</v>
      </c>
      <c r="B28">
        <v>27</v>
      </c>
      <c r="C28" t="s">
        <v>21</v>
      </c>
      <c r="D28" t="s">
        <v>22</v>
      </c>
      <c r="E28" t="s">
        <v>13</v>
      </c>
      <c r="F28">
        <v>423.6</v>
      </c>
      <c r="H28">
        <f t="shared" si="1"/>
        <v>423.6</v>
      </c>
      <c r="I28">
        <f t="shared" si="2"/>
        <v>423.6</v>
      </c>
      <c r="K28" t="s">
        <v>46</v>
      </c>
      <c r="L28" t="str">
        <f t="shared" si="3"/>
        <v>27.png</v>
      </c>
    </row>
    <row r="29" spans="1:12" x14ac:dyDescent="0.25">
      <c r="A29" t="str">
        <f t="shared" si="0"/>
        <v>LP423-423</v>
      </c>
      <c r="B29">
        <v>28</v>
      </c>
      <c r="C29" t="s">
        <v>21</v>
      </c>
      <c r="D29" t="s">
        <v>22</v>
      </c>
      <c r="E29" t="s">
        <v>13</v>
      </c>
      <c r="F29">
        <v>423.2</v>
      </c>
      <c r="H29">
        <f t="shared" si="1"/>
        <v>423.2</v>
      </c>
      <c r="I29">
        <f t="shared" si="2"/>
        <v>423.2</v>
      </c>
      <c r="K29" t="s">
        <v>47</v>
      </c>
      <c r="L29" t="str">
        <f t="shared" si="3"/>
        <v>28.png</v>
      </c>
    </row>
    <row r="30" spans="1:12" x14ac:dyDescent="0.25">
      <c r="A30" t="str">
        <f t="shared" si="0"/>
        <v>LP796-796</v>
      </c>
      <c r="B30">
        <v>29</v>
      </c>
      <c r="C30" t="s">
        <v>21</v>
      </c>
      <c r="D30" t="s">
        <v>22</v>
      </c>
      <c r="E30" t="s">
        <v>13</v>
      </c>
      <c r="F30">
        <v>796.68</v>
      </c>
      <c r="H30">
        <f t="shared" si="1"/>
        <v>796.68</v>
      </c>
      <c r="I30">
        <f t="shared" si="2"/>
        <v>796.68</v>
      </c>
      <c r="K30" t="s">
        <v>48</v>
      </c>
      <c r="L30" t="str">
        <f t="shared" si="3"/>
        <v>29.png</v>
      </c>
    </row>
    <row r="31" spans="1:12" x14ac:dyDescent="0.25">
      <c r="A31" t="str">
        <f t="shared" si="0"/>
        <v>BP405-19</v>
      </c>
      <c r="B31">
        <v>30</v>
      </c>
      <c r="C31" t="s">
        <v>18</v>
      </c>
      <c r="D31" t="s">
        <v>19</v>
      </c>
      <c r="E31" t="s">
        <v>13</v>
      </c>
      <c r="F31">
        <v>405.37</v>
      </c>
      <c r="G31">
        <v>424.69</v>
      </c>
      <c r="H31">
        <f t="shared" si="1"/>
        <v>415.03</v>
      </c>
      <c r="I31">
        <f t="shared" si="2"/>
        <v>19.32</v>
      </c>
      <c r="K31" t="s">
        <v>49</v>
      </c>
      <c r="L31" t="str">
        <f t="shared" si="3"/>
        <v>30.png</v>
      </c>
    </row>
    <row r="32" spans="1:12" x14ac:dyDescent="0.25">
      <c r="A32" t="str">
        <f t="shared" si="0"/>
        <v>LP492-492</v>
      </c>
      <c r="B32">
        <v>31</v>
      </c>
      <c r="C32" t="s">
        <v>21</v>
      </c>
      <c r="D32" t="s">
        <v>22</v>
      </c>
      <c r="E32" t="s">
        <v>13</v>
      </c>
      <c r="F32">
        <v>492.5</v>
      </c>
      <c r="H32">
        <f t="shared" si="1"/>
        <v>492.5</v>
      </c>
      <c r="I32">
        <f t="shared" si="2"/>
        <v>492.5</v>
      </c>
      <c r="K32" t="s">
        <v>50</v>
      </c>
      <c r="L32" t="str">
        <f t="shared" si="3"/>
        <v>31.png</v>
      </c>
    </row>
    <row r="33" spans="1:12" x14ac:dyDescent="0.25">
      <c r="A33" t="str">
        <f t="shared" si="0"/>
        <v>LP676-676</v>
      </c>
      <c r="B33">
        <v>32</v>
      </c>
      <c r="C33" t="s">
        <v>21</v>
      </c>
      <c r="D33" t="s">
        <v>22</v>
      </c>
      <c r="E33" t="s">
        <v>13</v>
      </c>
      <c r="F33">
        <v>676.27</v>
      </c>
      <c r="H33">
        <f t="shared" si="1"/>
        <v>676.27</v>
      </c>
      <c r="I33">
        <f t="shared" si="2"/>
        <v>676.27</v>
      </c>
      <c r="K33" t="s">
        <v>51</v>
      </c>
      <c r="L33" t="str">
        <f t="shared" si="3"/>
        <v>32.png</v>
      </c>
    </row>
    <row r="34" spans="1:12" x14ac:dyDescent="0.25">
      <c r="A34" t="str">
        <f t="shared" si="0"/>
        <v>SP500-500</v>
      </c>
      <c r="B34">
        <v>33</v>
      </c>
      <c r="C34" t="s">
        <v>15</v>
      </c>
      <c r="D34" t="s">
        <v>16</v>
      </c>
      <c r="E34" t="s">
        <v>13</v>
      </c>
      <c r="F34">
        <v>500</v>
      </c>
      <c r="H34">
        <f t="shared" si="1"/>
        <v>500</v>
      </c>
      <c r="I34">
        <f t="shared" si="2"/>
        <v>500</v>
      </c>
      <c r="K34" t="s">
        <v>52</v>
      </c>
      <c r="L34" t="str">
        <f t="shared" si="3"/>
        <v>33.png</v>
      </c>
    </row>
    <row r="35" spans="1:12" x14ac:dyDescent="0.25">
      <c r="A35" t="str">
        <f t="shared" si="0"/>
        <v>SP531-531</v>
      </c>
      <c r="B35">
        <v>34</v>
      </c>
      <c r="C35" t="s">
        <v>15</v>
      </c>
      <c r="D35" t="s">
        <v>16</v>
      </c>
      <c r="E35" t="s">
        <v>13</v>
      </c>
      <c r="F35">
        <v>531.36</v>
      </c>
      <c r="H35">
        <f t="shared" si="1"/>
        <v>531.36</v>
      </c>
      <c r="I35">
        <f t="shared" si="2"/>
        <v>531.36</v>
      </c>
      <c r="K35" t="s">
        <v>53</v>
      </c>
      <c r="L35" t="str">
        <f t="shared" si="3"/>
        <v>34.png</v>
      </c>
    </row>
    <row r="36" spans="1:12" x14ac:dyDescent="0.25">
      <c r="A36" t="str">
        <f t="shared" si="0"/>
        <v>C403-403</v>
      </c>
      <c r="B36">
        <v>35</v>
      </c>
      <c r="C36" t="s">
        <v>74</v>
      </c>
      <c r="D36" t="s">
        <v>75</v>
      </c>
      <c r="E36" t="s">
        <v>13</v>
      </c>
      <c r="F36">
        <v>403</v>
      </c>
      <c r="H36">
        <f t="shared" si="1"/>
        <v>403</v>
      </c>
      <c r="I36">
        <f t="shared" si="2"/>
        <v>403</v>
      </c>
      <c r="K36" t="s">
        <v>54</v>
      </c>
      <c r="L36" t="str">
        <f t="shared" si="3"/>
        <v>35.png</v>
      </c>
    </row>
    <row r="37" spans="1:12" x14ac:dyDescent="0.25">
      <c r="A37" t="str">
        <f t="shared" si="0"/>
        <v>LP560-560</v>
      </c>
      <c r="B37">
        <v>36</v>
      </c>
      <c r="C37" t="s">
        <v>21</v>
      </c>
      <c r="D37" t="s">
        <v>22</v>
      </c>
      <c r="E37" t="s">
        <v>13</v>
      </c>
      <c r="F37">
        <v>560</v>
      </c>
      <c r="H37">
        <f t="shared" si="1"/>
        <v>560</v>
      </c>
      <c r="I37">
        <f t="shared" si="2"/>
        <v>560</v>
      </c>
      <c r="K37" t="s">
        <v>55</v>
      </c>
      <c r="L37" t="str">
        <f t="shared" si="3"/>
        <v>36.png</v>
      </c>
    </row>
    <row r="38" spans="1:12" x14ac:dyDescent="0.25">
      <c r="A38" t="str">
        <f t="shared" si="0"/>
        <v>BC520-166</v>
      </c>
      <c r="B38">
        <v>37</v>
      </c>
      <c r="C38" t="s">
        <v>72</v>
      </c>
      <c r="D38" t="s">
        <v>73</v>
      </c>
      <c r="E38" t="s">
        <v>13</v>
      </c>
      <c r="F38">
        <v>520</v>
      </c>
      <c r="G38">
        <v>686.6</v>
      </c>
      <c r="H38">
        <f t="shared" si="1"/>
        <v>603.29999999999995</v>
      </c>
      <c r="I38">
        <f t="shared" si="2"/>
        <v>166.6</v>
      </c>
      <c r="K38" t="s">
        <v>56</v>
      </c>
      <c r="L38" t="str">
        <f t="shared" si="3"/>
        <v>37.png</v>
      </c>
    </row>
    <row r="39" spans="1:12" x14ac:dyDescent="0.25">
      <c r="A39" t="str">
        <f t="shared" si="0"/>
        <v>BC527-182</v>
      </c>
      <c r="B39">
        <v>38</v>
      </c>
      <c r="C39" t="s">
        <v>72</v>
      </c>
      <c r="D39" t="s">
        <v>73</v>
      </c>
      <c r="E39" t="s">
        <v>13</v>
      </c>
      <c r="F39">
        <v>527.4</v>
      </c>
      <c r="G39">
        <v>710</v>
      </c>
      <c r="H39">
        <f t="shared" si="1"/>
        <v>618.70000000000005</v>
      </c>
      <c r="I39">
        <f t="shared" si="2"/>
        <v>182.6</v>
      </c>
      <c r="K39" t="s">
        <v>57</v>
      </c>
      <c r="L39" t="str">
        <f t="shared" si="3"/>
        <v>38.png</v>
      </c>
    </row>
    <row r="40" spans="1:12" x14ac:dyDescent="0.25">
      <c r="A40" t="str">
        <f t="shared" si="0"/>
        <v>LP490-490</v>
      </c>
      <c r="B40">
        <v>39</v>
      </c>
      <c r="C40" t="s">
        <v>21</v>
      </c>
      <c r="D40" t="s">
        <v>22</v>
      </c>
      <c r="E40" t="s">
        <v>13</v>
      </c>
      <c r="F40">
        <v>490</v>
      </c>
      <c r="H40">
        <f t="shared" si="1"/>
        <v>490</v>
      </c>
      <c r="I40">
        <f t="shared" si="2"/>
        <v>490</v>
      </c>
      <c r="K40" t="s">
        <v>58</v>
      </c>
      <c r="L40" t="str">
        <f t="shared" si="3"/>
        <v>39.png</v>
      </c>
    </row>
    <row r="41" spans="1:12" x14ac:dyDescent="0.25">
      <c r="A41" t="str">
        <f t="shared" si="0"/>
        <v>BC442-46</v>
      </c>
      <c r="B41">
        <v>40</v>
      </c>
      <c r="C41" t="s">
        <v>72</v>
      </c>
      <c r="D41" t="s">
        <v>73</v>
      </c>
      <c r="E41" t="s">
        <v>13</v>
      </c>
      <c r="F41">
        <v>442.8</v>
      </c>
      <c r="G41">
        <v>489.1</v>
      </c>
      <c r="H41">
        <f t="shared" si="1"/>
        <v>465.95</v>
      </c>
      <c r="I41">
        <f t="shared" si="2"/>
        <v>46.3</v>
      </c>
      <c r="K41" t="s">
        <v>59</v>
      </c>
      <c r="L41" t="str">
        <f t="shared" si="3"/>
        <v>40.png</v>
      </c>
    </row>
    <row r="42" spans="1:12" x14ac:dyDescent="0.25">
      <c r="A42" t="str">
        <f t="shared" si="0"/>
        <v>LP490-490</v>
      </c>
      <c r="B42">
        <v>41</v>
      </c>
      <c r="C42" t="s">
        <v>21</v>
      </c>
      <c r="D42" t="s">
        <v>22</v>
      </c>
      <c r="E42" t="s">
        <v>13</v>
      </c>
      <c r="F42">
        <v>490.1</v>
      </c>
      <c r="H42">
        <f t="shared" si="1"/>
        <v>490.1</v>
      </c>
      <c r="I42">
        <f t="shared" si="2"/>
        <v>490.1</v>
      </c>
      <c r="K42" t="s">
        <v>60</v>
      </c>
      <c r="L42" t="str">
        <f t="shared" si="3"/>
        <v>41.png</v>
      </c>
    </row>
    <row r="43" spans="1:12" x14ac:dyDescent="0.25">
      <c r="A43" t="str">
        <f t="shared" si="0"/>
        <v>BC567-34</v>
      </c>
      <c r="B43">
        <v>42</v>
      </c>
      <c r="C43" t="s">
        <v>72</v>
      </c>
      <c r="D43" t="s">
        <v>73</v>
      </c>
      <c r="E43" t="s">
        <v>13</v>
      </c>
      <c r="F43">
        <v>567.9</v>
      </c>
      <c r="G43">
        <v>602.6</v>
      </c>
      <c r="H43">
        <f t="shared" si="1"/>
        <v>585.25</v>
      </c>
      <c r="I43">
        <f t="shared" si="2"/>
        <v>34.700000000000003</v>
      </c>
      <c r="K43" t="s">
        <v>61</v>
      </c>
      <c r="L43" t="str">
        <f t="shared" si="3"/>
        <v>42.png</v>
      </c>
    </row>
    <row r="44" spans="1:12" x14ac:dyDescent="0.25">
      <c r="A44" t="str">
        <f t="shared" si="0"/>
        <v>C508-170</v>
      </c>
      <c r="B44">
        <v>43</v>
      </c>
      <c r="C44" t="s">
        <v>74</v>
      </c>
      <c r="D44" t="s">
        <v>75</v>
      </c>
      <c r="E44" t="s">
        <v>13</v>
      </c>
      <c r="F44">
        <v>508</v>
      </c>
      <c r="G44">
        <v>678.5</v>
      </c>
      <c r="H44">
        <f t="shared" si="1"/>
        <v>593.25</v>
      </c>
      <c r="I44">
        <f t="shared" si="2"/>
        <v>170.5</v>
      </c>
      <c r="K44" t="s">
        <v>62</v>
      </c>
      <c r="L44" t="str">
        <f t="shared" si="3"/>
        <v>43.png</v>
      </c>
    </row>
    <row r="45" spans="1:12" x14ac:dyDescent="0.25">
      <c r="A45" t="str">
        <f t="shared" si="0"/>
        <v>SP648-648</v>
      </c>
      <c r="B45">
        <v>44</v>
      </c>
      <c r="C45" t="s">
        <v>15</v>
      </c>
      <c r="D45" t="s">
        <v>16</v>
      </c>
      <c r="E45" t="s">
        <v>13</v>
      </c>
      <c r="F45">
        <v>648.70000000000005</v>
      </c>
      <c r="H45">
        <f t="shared" si="1"/>
        <v>648.70000000000005</v>
      </c>
      <c r="I45">
        <f t="shared" si="2"/>
        <v>648.70000000000005</v>
      </c>
      <c r="K45" t="s">
        <v>63</v>
      </c>
      <c r="L45" t="str">
        <f t="shared" si="3"/>
        <v>44.png</v>
      </c>
    </row>
    <row r="46" spans="1:12" x14ac:dyDescent="0.25">
      <c r="A46" t="str">
        <f t="shared" si="0"/>
        <v>BC470-231</v>
      </c>
      <c r="B46">
        <v>45</v>
      </c>
      <c r="C46" t="s">
        <v>72</v>
      </c>
      <c r="D46" t="s">
        <v>73</v>
      </c>
      <c r="E46" t="s">
        <v>13</v>
      </c>
      <c r="F46">
        <v>470.5</v>
      </c>
      <c r="G46">
        <v>701.6</v>
      </c>
      <c r="H46">
        <f t="shared" si="1"/>
        <v>586.04999999999995</v>
      </c>
      <c r="I46">
        <f t="shared" si="2"/>
        <v>231.1</v>
      </c>
      <c r="K46" t="s">
        <v>64</v>
      </c>
      <c r="L46" t="str">
        <f t="shared" si="3"/>
        <v>45.png</v>
      </c>
    </row>
    <row r="47" spans="1:12" x14ac:dyDescent="0.25">
      <c r="A47" t="str">
        <f t="shared" si="0"/>
        <v>BP775-10</v>
      </c>
      <c r="B47">
        <v>46</v>
      </c>
      <c r="C47" t="s">
        <v>18</v>
      </c>
      <c r="D47" t="s">
        <v>19</v>
      </c>
      <c r="E47" t="s">
        <v>13</v>
      </c>
      <c r="F47">
        <v>775.35</v>
      </c>
      <c r="G47">
        <v>786.11</v>
      </c>
      <c r="H47">
        <f t="shared" si="1"/>
        <v>780.73</v>
      </c>
      <c r="I47">
        <f t="shared" si="2"/>
        <v>10.76</v>
      </c>
      <c r="K47" t="s">
        <v>67</v>
      </c>
      <c r="L47" t="str">
        <f t="shared" si="3"/>
        <v>46.png</v>
      </c>
    </row>
    <row r="48" spans="1:12" x14ac:dyDescent="0.25">
      <c r="A48" t="str">
        <f t="shared" si="0"/>
        <v>BP449-45</v>
      </c>
      <c r="B48">
        <v>47</v>
      </c>
      <c r="C48" t="s">
        <v>18</v>
      </c>
      <c r="D48" t="s">
        <v>19</v>
      </c>
      <c r="E48" t="s">
        <v>13</v>
      </c>
      <c r="F48">
        <v>449</v>
      </c>
      <c r="G48">
        <v>494.57</v>
      </c>
      <c r="H48">
        <f t="shared" si="1"/>
        <v>471.79</v>
      </c>
      <c r="I48">
        <f t="shared" si="2"/>
        <v>45.57</v>
      </c>
      <c r="K48" t="s">
        <v>68</v>
      </c>
      <c r="L48" t="str">
        <f t="shared" si="3"/>
        <v>47.png</v>
      </c>
    </row>
    <row r="49" spans="1:12" x14ac:dyDescent="0.25">
      <c r="A49" t="str">
        <f t="shared" si="0"/>
        <v>LP518-518</v>
      </c>
      <c r="B49">
        <v>48</v>
      </c>
      <c r="C49" t="s">
        <v>21</v>
      </c>
      <c r="D49" t="s">
        <v>22</v>
      </c>
      <c r="E49" t="s">
        <v>13</v>
      </c>
      <c r="F49">
        <v>518.75</v>
      </c>
      <c r="H49">
        <f t="shared" si="1"/>
        <v>518.75</v>
      </c>
      <c r="I49">
        <f t="shared" si="2"/>
        <v>518.75</v>
      </c>
      <c r="K49" t="s">
        <v>69</v>
      </c>
      <c r="L49" t="str">
        <f t="shared" si="3"/>
        <v>48.png</v>
      </c>
    </row>
    <row r="50" spans="1:12" x14ac:dyDescent="0.25">
      <c r="A50" t="str">
        <f t="shared" si="0"/>
        <v>BP586-39</v>
      </c>
      <c r="B50">
        <v>49</v>
      </c>
      <c r="C50" t="s">
        <v>18</v>
      </c>
      <c r="D50" t="s">
        <v>19</v>
      </c>
      <c r="E50" t="s">
        <v>13</v>
      </c>
      <c r="F50">
        <v>586.6</v>
      </c>
      <c r="G50">
        <v>625.70000000000005</v>
      </c>
      <c r="H50">
        <f t="shared" si="1"/>
        <v>606.15</v>
      </c>
      <c r="I50">
        <f t="shared" si="2"/>
        <v>39.1</v>
      </c>
      <c r="K50" t="s">
        <v>70</v>
      </c>
      <c r="L50" t="str">
        <f t="shared" si="3"/>
        <v>49.png</v>
      </c>
    </row>
    <row r="51" spans="1:12" x14ac:dyDescent="0.25">
      <c r="A51" t="str">
        <f t="shared" si="0"/>
        <v>LP491-491</v>
      </c>
      <c r="B51">
        <v>50</v>
      </c>
      <c r="C51" t="s">
        <v>21</v>
      </c>
      <c r="D51" t="s">
        <v>22</v>
      </c>
      <c r="E51" t="s">
        <v>13</v>
      </c>
      <c r="F51">
        <v>491.5</v>
      </c>
      <c r="H51">
        <f t="shared" si="1"/>
        <v>491.5</v>
      </c>
      <c r="I51">
        <f t="shared" si="2"/>
        <v>491.5</v>
      </c>
      <c r="K51" t="s">
        <v>71</v>
      </c>
      <c r="L51" t="str">
        <f t="shared" si="3"/>
        <v>50.png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C2F2-DF27-4DE7-B881-9971BF0D7323}">
  <dimension ref="A1:B46"/>
  <sheetViews>
    <sheetView topLeftCell="A2" workbookViewId="0">
      <selection activeCell="B2" sqref="B2:B46"/>
    </sheetView>
  </sheetViews>
  <sheetFormatPr defaultRowHeight="15" x14ac:dyDescent="0.25"/>
  <cols>
    <col min="1" max="1" width="15.42578125" bestFit="1" customWidth="1"/>
  </cols>
  <sheetData>
    <row r="1" spans="1:2" x14ac:dyDescent="0.25">
      <c r="A1" t="s">
        <v>0</v>
      </c>
      <c r="B1" t="s">
        <v>66</v>
      </c>
    </row>
    <row r="2" spans="1:2" x14ac:dyDescent="0.25">
      <c r="A2" t="str">
        <f xml:space="preserve"> Sheet1!A2</f>
        <v>BS524-13</v>
      </c>
      <c r="B2" t="str">
        <f xml:space="preserve"> Sheet1!L2</f>
        <v>1.png</v>
      </c>
    </row>
    <row r="3" spans="1:2" x14ac:dyDescent="0.25">
      <c r="A3" t="str">
        <f xml:space="preserve"> Sheet1!A3</f>
        <v>SP453-121</v>
      </c>
      <c r="B3" t="str">
        <f xml:space="preserve"> Sheet1!L3</f>
        <v>2.png</v>
      </c>
    </row>
    <row r="4" spans="1:2" x14ac:dyDescent="0.25">
      <c r="A4" t="str">
        <f xml:space="preserve"> Sheet1!A4</f>
        <v>BP528-44</v>
      </c>
      <c r="B4" t="str">
        <f xml:space="preserve"> Sheet1!L4</f>
        <v>3.png</v>
      </c>
    </row>
    <row r="5" spans="1:2" x14ac:dyDescent="0.25">
      <c r="A5" t="str">
        <f xml:space="preserve"> Sheet1!A5</f>
        <v>LP531-531</v>
      </c>
      <c r="B5" t="str">
        <f xml:space="preserve"> Sheet1!L5</f>
        <v>4.png</v>
      </c>
    </row>
    <row r="6" spans="1:2" x14ac:dyDescent="0.25">
      <c r="A6" t="str">
        <f xml:space="preserve"> Sheet1!A6</f>
        <v>BP539-11</v>
      </c>
      <c r="B6" t="str">
        <f xml:space="preserve"> Sheet1!L6</f>
        <v>5.png</v>
      </c>
    </row>
    <row r="7" spans="1:2" x14ac:dyDescent="0.25">
      <c r="A7" t="str">
        <f xml:space="preserve"> Sheet1!A7</f>
        <v>LP610-610</v>
      </c>
      <c r="B7" t="str">
        <f xml:space="preserve"> Sheet1!L7</f>
        <v>6.png</v>
      </c>
    </row>
    <row r="8" spans="1:2" x14ac:dyDescent="0.25">
      <c r="A8" t="str">
        <f xml:space="preserve"> Sheet1!A8</f>
        <v>LP475-475</v>
      </c>
      <c r="B8" t="str">
        <f xml:space="preserve"> Sheet1!L8</f>
        <v>7.png</v>
      </c>
    </row>
    <row r="9" spans="1:2" x14ac:dyDescent="0.25">
      <c r="A9" t="str">
        <f xml:space="preserve"> Sheet1!A9</f>
        <v>CBC479-177</v>
      </c>
      <c r="B9" t="str">
        <f xml:space="preserve"> Sheet1!L9</f>
        <v>8.png</v>
      </c>
    </row>
    <row r="10" spans="1:2" x14ac:dyDescent="0.25">
      <c r="A10" t="str">
        <f xml:space="preserve"> Sheet1!A10</f>
        <v>BP625-22</v>
      </c>
      <c r="B10" t="str">
        <f xml:space="preserve"> Sheet1!L10</f>
        <v>9.png</v>
      </c>
    </row>
    <row r="11" spans="1:2" x14ac:dyDescent="0.25">
      <c r="A11" t="str">
        <f xml:space="preserve"> Sheet1!A11</f>
        <v>BP697-3</v>
      </c>
      <c r="B11" t="str">
        <f xml:space="preserve"> Sheet1!L11</f>
        <v>10.png</v>
      </c>
    </row>
    <row r="12" spans="1:2" x14ac:dyDescent="0.25">
      <c r="A12" t="str">
        <f xml:space="preserve"> Sheet1!A12</f>
        <v>SP549-549</v>
      </c>
      <c r="B12" t="str">
        <f xml:space="preserve"> Sheet1!L12</f>
        <v>11.png</v>
      </c>
    </row>
    <row r="13" spans="1:2" x14ac:dyDescent="0.25">
      <c r="A13" t="str">
        <f xml:space="preserve"> Sheet1!A13</f>
        <v>BP658-15</v>
      </c>
      <c r="B13" t="str">
        <f xml:space="preserve"> Sheet1!L13</f>
        <v>12.png</v>
      </c>
    </row>
    <row r="14" spans="1:2" x14ac:dyDescent="0.25">
      <c r="A14" t="str">
        <f xml:space="preserve"> Sheet1!A14</f>
        <v>Sp630-630</v>
      </c>
      <c r="B14" t="str">
        <f xml:space="preserve"> Sheet1!L14</f>
        <v>13.png</v>
      </c>
    </row>
    <row r="15" spans="1:2" x14ac:dyDescent="0.25">
      <c r="A15" t="str">
        <f xml:space="preserve"> Sheet1!A15</f>
        <v>BP532-23</v>
      </c>
      <c r="B15" t="str">
        <f xml:space="preserve"> Sheet1!L15</f>
        <v>14.png</v>
      </c>
    </row>
    <row r="16" spans="1:2" x14ac:dyDescent="0.25">
      <c r="A16" t="str">
        <f xml:space="preserve"> Sheet1!A16</f>
        <v>CBC506-184</v>
      </c>
      <c r="B16" t="str">
        <f xml:space="preserve"> Sheet1!L16</f>
        <v>15.png</v>
      </c>
    </row>
    <row r="17" spans="1:2" x14ac:dyDescent="0.25">
      <c r="A17" t="str">
        <f xml:space="preserve"> Sheet1!A17</f>
        <v>LP545-545</v>
      </c>
      <c r="B17" t="str">
        <f xml:space="preserve"> Sheet1!L17</f>
        <v>16.png</v>
      </c>
    </row>
    <row r="18" spans="1:2" x14ac:dyDescent="0.25">
      <c r="A18" t="str">
        <f xml:space="preserve"> Sheet1!A18</f>
        <v>BP431-39</v>
      </c>
      <c r="B18" t="str">
        <f xml:space="preserve"> Sheet1!L18</f>
        <v>17.png</v>
      </c>
    </row>
    <row r="19" spans="1:2" x14ac:dyDescent="0.25">
      <c r="A19" t="str">
        <f xml:space="preserve"> Sheet1!A19</f>
        <v>BP503-44</v>
      </c>
      <c r="B19" t="str">
        <f xml:space="preserve"> Sheet1!L19</f>
        <v>18.png</v>
      </c>
    </row>
    <row r="20" spans="1:2" x14ac:dyDescent="0.25">
      <c r="A20" t="str">
        <f xml:space="preserve"> Sheet1!A20</f>
        <v>BP629-10</v>
      </c>
      <c r="B20" t="str">
        <f xml:space="preserve"> Sheet1!L20</f>
        <v>19.png</v>
      </c>
    </row>
    <row r="21" spans="1:2" x14ac:dyDescent="0.25">
      <c r="A21" t="str">
        <f xml:space="preserve"> Sheet1!A21</f>
        <v>BP486-10</v>
      </c>
      <c r="B21" t="str">
        <f xml:space="preserve"> Sheet1!L21</f>
        <v>20.png</v>
      </c>
    </row>
    <row r="22" spans="1:2" x14ac:dyDescent="0.25">
      <c r="A22" t="str">
        <f xml:space="preserve"> Sheet1!A22</f>
        <v>BP626-22</v>
      </c>
      <c r="B22" t="str">
        <f xml:space="preserve"> Sheet1!L22</f>
        <v>21.png</v>
      </c>
    </row>
    <row r="23" spans="1:2" x14ac:dyDescent="0.25">
      <c r="A23" t="str">
        <f xml:space="preserve"> Sheet1!A23</f>
        <v>BP625-23</v>
      </c>
      <c r="B23" t="str">
        <f xml:space="preserve"> Sheet1!L23</f>
        <v>22.png</v>
      </c>
    </row>
    <row r="24" spans="1:2" x14ac:dyDescent="0.25">
      <c r="A24" t="str">
        <f xml:space="preserve"> Sheet1!A24</f>
        <v>BP665-10</v>
      </c>
      <c r="B24" t="str">
        <f xml:space="preserve"> Sheet1!L24</f>
        <v>23.png</v>
      </c>
    </row>
    <row r="25" spans="1:2" x14ac:dyDescent="0.25">
      <c r="A25" t="str">
        <f xml:space="preserve"> Sheet1!A25</f>
        <v>BP821-16</v>
      </c>
      <c r="B25" t="str">
        <f xml:space="preserve"> Sheet1!L25</f>
        <v>24.png</v>
      </c>
    </row>
    <row r="26" spans="1:2" x14ac:dyDescent="0.25">
      <c r="A26" t="str">
        <f xml:space="preserve"> Sheet1!A26</f>
        <v>0-0</v>
      </c>
      <c r="B26" t="str">
        <f xml:space="preserve"> Sheet1!L26</f>
        <v>25.png</v>
      </c>
    </row>
    <row r="27" spans="1:2" x14ac:dyDescent="0.25">
      <c r="A27" t="str">
        <f xml:space="preserve"> Sheet1!A27</f>
        <v>LP798-798</v>
      </c>
      <c r="B27" t="str">
        <f xml:space="preserve"> Sheet1!L27</f>
        <v>26.png</v>
      </c>
    </row>
    <row r="28" spans="1:2" x14ac:dyDescent="0.25">
      <c r="A28" t="str">
        <f xml:space="preserve"> Sheet1!A28</f>
        <v>LP423-423</v>
      </c>
      <c r="B28" t="str">
        <f xml:space="preserve"> Sheet1!L28</f>
        <v>27.png</v>
      </c>
    </row>
    <row r="29" spans="1:2" x14ac:dyDescent="0.25">
      <c r="A29" t="str">
        <f xml:space="preserve"> Sheet1!A29</f>
        <v>LP423-423</v>
      </c>
      <c r="B29" t="str">
        <f xml:space="preserve"> Sheet1!L29</f>
        <v>28.png</v>
      </c>
    </row>
    <row r="30" spans="1:2" x14ac:dyDescent="0.25">
      <c r="A30" t="str">
        <f xml:space="preserve"> Sheet1!A30</f>
        <v>LP796-796</v>
      </c>
      <c r="B30" t="str">
        <f xml:space="preserve"> Sheet1!L30</f>
        <v>29.png</v>
      </c>
    </row>
    <row r="31" spans="1:2" x14ac:dyDescent="0.25">
      <c r="A31" t="str">
        <f xml:space="preserve"> Sheet1!A31</f>
        <v>BP405-19</v>
      </c>
      <c r="B31" t="str">
        <f xml:space="preserve"> Sheet1!L31</f>
        <v>30.png</v>
      </c>
    </row>
    <row r="32" spans="1:2" x14ac:dyDescent="0.25">
      <c r="A32" t="str">
        <f xml:space="preserve"> Sheet1!A32</f>
        <v>LP492-492</v>
      </c>
      <c r="B32" t="str">
        <f xml:space="preserve"> Sheet1!L32</f>
        <v>31.png</v>
      </c>
    </row>
    <row r="33" spans="1:2" x14ac:dyDescent="0.25">
      <c r="A33" t="str">
        <f xml:space="preserve"> Sheet1!A33</f>
        <v>LP676-676</v>
      </c>
      <c r="B33" t="str">
        <f xml:space="preserve"> Sheet1!L33</f>
        <v>32.png</v>
      </c>
    </row>
    <row r="34" spans="1:2" x14ac:dyDescent="0.25">
      <c r="A34" t="str">
        <f xml:space="preserve"> Sheet1!A34</f>
        <v>SP500-500</v>
      </c>
      <c r="B34" t="str">
        <f xml:space="preserve"> Sheet1!L34</f>
        <v>33.png</v>
      </c>
    </row>
    <row r="35" spans="1:2" x14ac:dyDescent="0.25">
      <c r="A35" t="str">
        <f xml:space="preserve"> Sheet1!A35</f>
        <v>SP531-531</v>
      </c>
      <c r="B35" t="str">
        <f xml:space="preserve"> Sheet1!L35</f>
        <v>34.png</v>
      </c>
    </row>
    <row r="36" spans="1:2" x14ac:dyDescent="0.25">
      <c r="A36" t="str">
        <f xml:space="preserve"> Sheet1!A36</f>
        <v>C403-403</v>
      </c>
      <c r="B36" t="str">
        <f xml:space="preserve"> Sheet1!L36</f>
        <v>35.png</v>
      </c>
    </row>
    <row r="37" spans="1:2" x14ac:dyDescent="0.25">
      <c r="A37" t="str">
        <f xml:space="preserve"> Sheet1!A37</f>
        <v>LP560-560</v>
      </c>
      <c r="B37" t="str">
        <f xml:space="preserve"> Sheet1!L37</f>
        <v>36.png</v>
      </c>
    </row>
    <row r="38" spans="1:2" x14ac:dyDescent="0.25">
      <c r="A38" t="str">
        <f xml:space="preserve"> Sheet1!A38</f>
        <v>BC520-166</v>
      </c>
      <c r="B38" t="str">
        <f xml:space="preserve"> Sheet1!L38</f>
        <v>37.png</v>
      </c>
    </row>
    <row r="39" spans="1:2" x14ac:dyDescent="0.25">
      <c r="A39" t="str">
        <f xml:space="preserve"> Sheet1!A39</f>
        <v>BC527-182</v>
      </c>
      <c r="B39" t="str">
        <f xml:space="preserve"> Sheet1!L39</f>
        <v>38.png</v>
      </c>
    </row>
    <row r="40" spans="1:2" x14ac:dyDescent="0.25">
      <c r="A40" t="str">
        <f xml:space="preserve"> Sheet1!A40</f>
        <v>LP490-490</v>
      </c>
      <c r="B40" t="str">
        <f xml:space="preserve"> Sheet1!L40</f>
        <v>39.png</v>
      </c>
    </row>
    <row r="41" spans="1:2" x14ac:dyDescent="0.25">
      <c r="A41" t="str">
        <f xml:space="preserve"> Sheet1!A41</f>
        <v>BC442-46</v>
      </c>
      <c r="B41" t="str">
        <f xml:space="preserve"> Sheet1!L41</f>
        <v>40.png</v>
      </c>
    </row>
    <row r="42" spans="1:2" x14ac:dyDescent="0.25">
      <c r="A42" t="str">
        <f xml:space="preserve"> Sheet1!A42</f>
        <v>LP490-490</v>
      </c>
      <c r="B42" t="str">
        <f xml:space="preserve"> Sheet1!L42</f>
        <v>41.png</v>
      </c>
    </row>
    <row r="43" spans="1:2" x14ac:dyDescent="0.25">
      <c r="A43" t="str">
        <f xml:space="preserve"> Sheet1!A43</f>
        <v>BC567-34</v>
      </c>
      <c r="B43" t="str">
        <f xml:space="preserve"> Sheet1!L43</f>
        <v>42.png</v>
      </c>
    </row>
    <row r="44" spans="1:2" x14ac:dyDescent="0.25">
      <c r="A44" t="str">
        <f xml:space="preserve"> Sheet1!A44</f>
        <v>C508-170</v>
      </c>
      <c r="B44" t="str">
        <f xml:space="preserve"> Sheet1!L44</f>
        <v>43.png</v>
      </c>
    </row>
    <row r="45" spans="1:2" x14ac:dyDescent="0.25">
      <c r="A45" t="str">
        <f xml:space="preserve"> Sheet1!A45</f>
        <v>SP648-648</v>
      </c>
      <c r="B45" t="str">
        <f xml:space="preserve"> Sheet1!L45</f>
        <v>44.png</v>
      </c>
    </row>
    <row r="46" spans="1:2" x14ac:dyDescent="0.25">
      <c r="A46" t="str">
        <f xml:space="preserve"> Sheet1!A46</f>
        <v>BC470-231</v>
      </c>
      <c r="B46" t="str">
        <f xml:space="preserve"> Sheet1!L46</f>
        <v>45.png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hussein El Husseini</cp:lastModifiedBy>
  <dcterms:created xsi:type="dcterms:W3CDTF">2026-07-14T16:57:57Z</dcterms:created>
  <dcterms:modified xsi:type="dcterms:W3CDTF">2026-07-16T15:58:36Z</dcterms:modified>
</cp:coreProperties>
</file>